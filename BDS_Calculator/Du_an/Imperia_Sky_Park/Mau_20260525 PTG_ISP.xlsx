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mc:AlternateContent xmlns:mc="http://schemas.openxmlformats.org/markup-compatibility/2006">
    <mc:Choice Requires="x15">
      <x15ac:absPath xmlns:x15ac="http://schemas.microsoft.com/office/spreadsheetml/2010/11/ac" url="https://mikvietnam-my.sharepoint.com/personal/bqhuy2_mik_vn/Documents/Thẩm định dự án/DA TRIỂN KHAI 2026/MIEN BAC/HA NOI/HH3_NAM AN KHÁNH/Bảng giá/PTG/"/>
    </mc:Choice>
  </mc:AlternateContent>
  <xr:revisionPtr revIDLastSave="0" documentId="8_{C077121F-A2D8-4FB2-9503-2CE96F456008}" xr6:coauthVersionLast="45" xr6:coauthVersionMax="45" xr10:uidLastSave="{00000000-0000-0000-0000-000000000000}"/>
  <bookViews>
    <workbookView xWindow="28680" yWindow="-120" windowWidth="29040" windowHeight="15840" tabRatio="878" activeTab="3" xr2:uid="{A967C113-D4B4-4E30-AE0F-90EEDF65EBCB}"/>
  </bookViews>
  <sheets>
    <sheet name="TTKQ" sheetId="1" r:id="rId1"/>
    <sheet name="TT Chuẩn" sheetId="8" r:id="rId2"/>
    <sheet name="TTS 95%" sheetId="7" r:id="rId3"/>
    <sheet name="TT sớm nhận HTLS 70%" sheetId="4" r:id="rId4"/>
  </sheets>
  <definedNames>
    <definedName name="\T">#REF!</definedName>
    <definedName name="___" hidden="1">#REF!</definedName>
    <definedName name="____" hidden="1">#REF!</definedName>
    <definedName name="_____" hidden="1">#REF!</definedName>
    <definedName name="__________________a1" hidden="1">{"'Sheet1'!$L$16"}</definedName>
    <definedName name="__________________NSO2" hidden="1">{"'Sheet1'!$L$16"}</definedName>
    <definedName name="_________________a1" hidden="1">{"'Sheet1'!$L$16"}</definedName>
    <definedName name="_________________CD2" hidden="1">{"'Sheet1'!$L$16"}</definedName>
    <definedName name="_________________Goi8"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m4" hidden="1">{"'Sheet1'!$L$16"}</definedName>
    <definedName name="_________________NSO2" hidden="1">{"'Sheet1'!$L$16"}</definedName>
    <definedName name="_________________PA3" hidden="1">{"'Sheet1'!$L$16"}</definedName>
    <definedName name="_________________PL3" hidden="1">{"'Sheet1'!$L$16"}</definedName>
    <definedName name="_________________tt3" hidden="1">{"'Sheet1'!$L$16"}</definedName>
    <definedName name="________________CD2"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m4" hidden="1">{"'Sheet1'!$L$16"}</definedName>
    <definedName name="________________PA3" hidden="1">{"'Sheet1'!$L$16"}</definedName>
    <definedName name="________________PL3" hidden="1">{"'Sheet1'!$L$16"}</definedName>
    <definedName name="________________tt3" hidden="1">{"'Sheet1'!$L$16"}</definedName>
    <definedName name="_______________a1" hidden="1">{"'Sheet1'!$L$16"}</definedName>
    <definedName name="_______________NSO2" hidden="1">{"'Sheet1'!$L$16"}</definedName>
    <definedName name="______________a1" hidden="1">{"'Sheet1'!$L$16"}</definedName>
    <definedName name="______________CD2" hidden="1">{"'Sheet1'!$L$16"}</definedName>
    <definedName name="______________Goi8"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m4" hidden="1">{"'Sheet1'!$L$16"}</definedName>
    <definedName name="______________NSO2" hidden="1">{"'Sheet1'!$L$16"}</definedName>
    <definedName name="______________PA3" hidden="1">{"'Sheet1'!$L$16"}</definedName>
    <definedName name="______________PL3" hidden="1">{"'Sheet1'!$L$16"}</definedName>
    <definedName name="______________tt3" hidden="1">{"'Sheet1'!$L$16"}</definedName>
    <definedName name="_____________a1" hidden="1">{"'Sheet1'!$L$16"}</definedName>
    <definedName name="_____________CD2" hidden="1">{"'Sheet1'!$L$16"}</definedName>
    <definedName name="_____________Goi8"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m4" hidden="1">{"'Sheet1'!$L$16"}</definedName>
    <definedName name="_____________NSO2" hidden="1">{"'Sheet1'!$L$16"}</definedName>
    <definedName name="_____________PA3" hidden="1">{"'Sheet1'!$L$16"}</definedName>
    <definedName name="_____________PL3" hidden="1">{"'Sheet1'!$L$16"}</definedName>
    <definedName name="_____________tt3" hidden="1">{"'Sheet1'!$L$16"}</definedName>
    <definedName name="____________a1" hidden="1">{"'Sheet1'!$L$16"}</definedName>
    <definedName name="____________Goi8" hidden="1">{"'Sheet1'!$L$16"}</definedName>
    <definedName name="____________h1" hidden="1">{"'Sheet1'!$L$16"}</definedName>
    <definedName name="____________hu1" hidden="1">{"'Sheet1'!$L$16"}</definedName>
    <definedName name="____________hu2" hidden="1">{"'Sheet1'!$L$16"}</definedName>
    <definedName name="____________hu5" hidden="1">{"'Sheet1'!$L$16"}</definedName>
    <definedName name="____________hu6" hidden="1">{"'Sheet1'!$L$16"}</definedName>
    <definedName name="____________NSO2" hidden="1">{"'Sheet1'!$L$16"}</definedName>
    <definedName name="____________PA3" hidden="1">{"'Sheet1'!$L$16"}</definedName>
    <definedName name="____________tt3" hidden="1">{"'Sheet1'!$L$16"}</definedName>
    <definedName name="___________CD2" hidden="1">{"'Sheet1'!$L$16"}</definedName>
    <definedName name="___________Goi8"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m4" hidden="1">{"'Sheet1'!$L$16"}</definedName>
    <definedName name="___________NSO2" hidden="1">{"'Sheet1'!$L$16"}</definedName>
    <definedName name="___________PA3" hidden="1">{"'Sheet1'!$L$16"}</definedName>
    <definedName name="___________PL3" hidden="1">{"'Sheet1'!$L$16"}</definedName>
    <definedName name="___________tt3" hidden="1">{"'Sheet1'!$L$16"}</definedName>
    <definedName name="__________a1" hidden="1">{"'Sheet1'!$L$16"}</definedName>
    <definedName name="__________CD2" hidden="1">{"'Sheet1'!$L$16"}</definedName>
    <definedName name="__________Goi8"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m4" hidden="1">{"'Sheet1'!$L$16"}</definedName>
    <definedName name="__________NSO2" hidden="1">{"'Sheet1'!$L$16"}</definedName>
    <definedName name="__________PL3" hidden="1">{"'Sheet1'!$L$16"}</definedName>
    <definedName name="__________tt3" hidden="1">{"'Sheet1'!$L$16"}</definedName>
    <definedName name="_________a1" hidden="1">{"'Sheet1'!$L$16"}</definedName>
    <definedName name="_________a10" hidden="1">{"'Sheet1'!$L$16"}</definedName>
    <definedName name="_________a11" hidden="1">{"'Sheet1'!$L$16"}</definedName>
    <definedName name="_________a12" hidden="1">{"'Sheet1'!$L$16"}</definedName>
    <definedName name="_________a2" hidden="1">{"'Sheet1'!$L$16"}</definedName>
    <definedName name="_________a3" hidden="1">{"'Sheet1'!$L$16"}</definedName>
    <definedName name="_________a4" hidden="1">{"'Sheet1'!$L$16"}</definedName>
    <definedName name="_________a5" hidden="1">{"'Sheet1'!$L$16"}</definedName>
    <definedName name="_________a7" hidden="1">{"'Sheet1'!$L$16"}</definedName>
    <definedName name="_________a8" hidden="1">{"'Sheet1'!$L$16"}</definedName>
    <definedName name="_________a9" hidden="1">{"'Sheet1'!$L$16"}</definedName>
    <definedName name="_________CD2" hidden="1">{"'Sheet1'!$L$16"}</definedName>
    <definedName name="_________f5" hidden="1">{"'Sheet1'!$L$16"}</definedName>
    <definedName name="_________Goi8"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m4" hidden="1">{"'Sheet1'!$L$16"}</definedName>
    <definedName name="_________NSO2" hidden="1">{"'Sheet1'!$L$16"}</definedName>
    <definedName name="_________PA3" hidden="1">{"'Sheet1'!$L$16"}</definedName>
    <definedName name="_________PL3" hidden="1">{"'Sheet1'!$L$16"}</definedName>
    <definedName name="_________tt3" hidden="1">{"'Sheet1'!$L$16"}</definedName>
    <definedName name="________a1" hidden="1">{"'Sheet1'!$L$16"}</definedName>
    <definedName name="________a10" hidden="1">{"'Sheet1'!$L$16"}</definedName>
    <definedName name="________a11" hidden="1">{"'Sheet1'!$L$16"}</definedName>
    <definedName name="________a12" hidden="1">{"'Sheet1'!$L$16"}</definedName>
    <definedName name="________a2" hidden="1">{"'Sheet1'!$L$16"}</definedName>
    <definedName name="________a3" hidden="1">{"'Sheet1'!$L$16"}</definedName>
    <definedName name="________a4" hidden="1">{"'Sheet1'!$L$16"}</definedName>
    <definedName name="________a5" hidden="1">{"'Sheet1'!$L$16"}</definedName>
    <definedName name="________a7" hidden="1">{"'Sheet1'!$L$16"}</definedName>
    <definedName name="________a8" hidden="1">{"'Sheet1'!$L$16"}</definedName>
    <definedName name="________a9" hidden="1">{"'Sheet1'!$L$16"}</definedName>
    <definedName name="________CD2" hidden="1">{"'Sheet1'!$L$16"}</definedName>
    <definedName name="________f5" hidden="1">{"'Sheet1'!$L$16"}</definedName>
    <definedName name="________Goi8"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m4" hidden="1">{"'Sheet1'!$L$16"}</definedName>
    <definedName name="________NSO2" hidden="1">{"'Sheet1'!$L$16"}</definedName>
    <definedName name="________PA3" hidden="1">{"'Sheet1'!$L$16"}</definedName>
    <definedName name="________PL3" hidden="1">{"'Sheet1'!$L$16"}</definedName>
    <definedName name="________QUY4" hidden="1">{"'Sheet1'!$L$16"}</definedName>
    <definedName name="________tt3" hidden="1">{"'Sheet1'!$L$16"}</definedName>
    <definedName name="_______a1" hidden="1">{"'Sheet1'!$L$16"}</definedName>
    <definedName name="_______CD2" hidden="1">{"'Sheet1'!$L$16"}</definedName>
    <definedName name="_______Goi8"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m4" hidden="1">{"'Sheet1'!$L$16"}</definedName>
    <definedName name="_______NSO2" hidden="1">{"'Sheet1'!$L$16"}</definedName>
    <definedName name="_______PA3" hidden="1">{"'Sheet1'!$L$16"}</definedName>
    <definedName name="_______PL3" hidden="1">{"'Sheet1'!$L$16"}</definedName>
    <definedName name="_______QUY4" hidden="1">{"'Sheet1'!$L$16"}</definedName>
    <definedName name="_______T1" hidden="1">{"'Sheet1'!$L$16"}</definedName>
    <definedName name="_______tt3" hidden="1">{"'Sheet1'!$L$16"}</definedName>
    <definedName name="______a1" hidden="1">{"'Sheet1'!$L$16"}</definedName>
    <definedName name="______a10" hidden="1">{"'Sheet1'!$L$16"}</definedName>
    <definedName name="______a11" hidden="1">{"'Sheet1'!$L$16"}</definedName>
    <definedName name="______a12" hidden="1">{"'Sheet1'!$L$16"}</definedName>
    <definedName name="______a2" hidden="1">{"'Sheet1'!$L$16"}</definedName>
    <definedName name="______a3" hidden="1">{"'Sheet1'!$L$16"}</definedName>
    <definedName name="______a4" hidden="1">{"'Sheet1'!$L$16"}</definedName>
    <definedName name="______a5" hidden="1">{"'Sheet1'!$L$16"}</definedName>
    <definedName name="______a7" hidden="1">{"'Sheet1'!$L$16"}</definedName>
    <definedName name="______a8" hidden="1">{"'Sheet1'!$L$16"}</definedName>
    <definedName name="______a9" hidden="1">{"'Sheet1'!$L$16"}</definedName>
    <definedName name="______CD2" hidden="1">{"'Sheet1'!$L$16"}</definedName>
    <definedName name="______d1500" hidden="1">{"'Sheet1'!$L$16"}</definedName>
    <definedName name="______f5" hidden="1">{"'Sheet1'!$L$16"}</definedName>
    <definedName name="______Goi8" hidden="1">{"'Sheet1'!$L$16"}</definedName>
    <definedName name="______h1" hidden="1">{"'Sheet1'!$L$16"}</definedName>
    <definedName name="______hu1" hidden="1">{"'Sheet1'!$L$16"}</definedName>
    <definedName name="______hu2" hidden="1">{"'Sheet1'!$L$16"}</definedName>
    <definedName name="______hu5" hidden="1">{"'Sheet1'!$L$16"}</definedName>
    <definedName name="______hu6" hidden="1">{"'Sheet1'!$L$16"}</definedName>
    <definedName name="______M2" hidden="1">{"'Sheet1'!$L$16"}</definedName>
    <definedName name="______m4" hidden="1">{"'Sheet1'!$L$16"}</definedName>
    <definedName name="______NSO2" hidden="1">{"'Sheet1'!$L$16"}</definedName>
    <definedName name="______PA3" hidden="1">{"'Sheet1'!$L$16"}</definedName>
    <definedName name="______PL3" hidden="1">{"'Sheet1'!$L$16"}</definedName>
    <definedName name="______QUY4" hidden="1">{"'Sheet1'!$L$16"}</definedName>
    <definedName name="______T1" hidden="1">{"'Sheet1'!$L$16"}</definedName>
    <definedName name="______tt3" hidden="1">{"'Sheet1'!$L$16"}</definedName>
    <definedName name="_____a1" hidden="1">{"'Sheet1'!$L$16"}</definedName>
    <definedName name="_____a10" hidden="1">{"'Sheet1'!$L$16"}</definedName>
    <definedName name="_____a11" hidden="1">{"'Sheet1'!$L$16"}</definedName>
    <definedName name="_____a12" hidden="1">{"'Sheet1'!$L$16"}</definedName>
    <definedName name="_____a2" hidden="1">{"'Sheet1'!$L$16"}</definedName>
    <definedName name="_____a3" hidden="1">{"'Sheet1'!$L$16"}</definedName>
    <definedName name="_____a4" hidden="1">{"'Sheet1'!$L$16"}</definedName>
    <definedName name="_____a5" hidden="1">{"'Sheet1'!$L$16"}</definedName>
    <definedName name="_____a7" hidden="1">{"'Sheet1'!$L$16"}</definedName>
    <definedName name="_____a8" hidden="1">{"'Sheet1'!$L$16"}</definedName>
    <definedName name="_____a9" hidden="1">{"'Sheet1'!$L$16"}</definedName>
    <definedName name="_____CD2" hidden="1">{"'Sheet1'!$L$16"}</definedName>
    <definedName name="_____d1500" hidden="1">{"'Sheet1'!$L$16"}</definedName>
    <definedName name="_____f5" hidden="1">{"'Sheet1'!$L$16"}</definedName>
    <definedName name="_____Goi8" hidden="1">{"'Sheet1'!$L$16"}</definedName>
    <definedName name="_____h1" hidden="1">{"'Sheet1'!$L$16"}</definedName>
    <definedName name="_____hu1" hidden="1">{"'Sheet1'!$L$16"}</definedName>
    <definedName name="_____hu2" hidden="1">{"'Sheet1'!$L$16"}</definedName>
    <definedName name="_____hu5" hidden="1">{"'Sheet1'!$L$16"}</definedName>
    <definedName name="_____hu6" hidden="1">{"'Sheet1'!$L$16"}</definedName>
    <definedName name="_____M2" hidden="1">{"'Sheet1'!$L$16"}</definedName>
    <definedName name="_____m4" hidden="1">{"'Sheet1'!$L$16"}</definedName>
    <definedName name="_____NSO2" hidden="1">{"'Sheet1'!$L$16"}</definedName>
    <definedName name="_____PA3" hidden="1">{"'Sheet1'!$L$16"}</definedName>
    <definedName name="_____PL3" hidden="1">{"'Sheet1'!$L$16"}</definedName>
    <definedName name="_____QUY4" hidden="1">{"'Sheet1'!$L$16"}</definedName>
    <definedName name="_____SCL4" hidden="1">{"'Sheet1'!$L$16"}</definedName>
    <definedName name="_____tt3" hidden="1">{"'Sheet1'!$L$16"}</definedName>
    <definedName name="____a1" hidden="1">{"'Sheet1'!$L$16"}</definedName>
    <definedName name="____a10" hidden="1">{"'Sheet1'!$L$16"}</definedName>
    <definedName name="____a11" hidden="1">{"'Sheet1'!$L$16"}</definedName>
    <definedName name="____a12" hidden="1">{"'Sheet1'!$L$16"}</definedName>
    <definedName name="____a2" hidden="1">{"'Sheet1'!$L$16"}</definedName>
    <definedName name="____a3" hidden="1">{"'Sheet1'!$L$16"}</definedName>
    <definedName name="____a4" hidden="1">{"'Sheet1'!$L$16"}</definedName>
    <definedName name="____a5" hidden="1">{"'Sheet1'!$L$16"}</definedName>
    <definedName name="____a7" hidden="1">{"'Sheet1'!$L$16"}</definedName>
    <definedName name="____a8" hidden="1">{"'Sheet1'!$L$16"}</definedName>
    <definedName name="____a9" hidden="1">{"'Sheet1'!$L$16"}</definedName>
    <definedName name="____CD2" hidden="1">{"'Sheet1'!$L$16"}</definedName>
    <definedName name="____d1500" hidden="1">{"'Sheet1'!$L$16"}</definedName>
    <definedName name="____f5" hidden="1">{"'Sheet1'!$L$16"}</definedName>
    <definedName name="____Goi8" hidden="1">{"'Sheet1'!$L$16"}</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M2" hidden="1">{"'Sheet1'!$L$16"}</definedName>
    <definedName name="____m4" hidden="1">{"'Sheet1'!$L$16"}</definedName>
    <definedName name="____NSO2" hidden="1">{"'Sheet1'!$L$16"}</definedName>
    <definedName name="____PA3" hidden="1">{"'Sheet1'!$L$16"}</definedName>
    <definedName name="____PL3" hidden="1">{"'Sheet1'!$L$16"}</definedName>
    <definedName name="____QUY4" hidden="1">{"'Sheet1'!$L$16"}</definedName>
    <definedName name="____SCL4" hidden="1">{"'Sheet1'!$L$16"}</definedName>
    <definedName name="____T1" hidden="1">{"'Sheet1'!$L$16"}</definedName>
    <definedName name="____tt3" hidden="1">{"'Sheet1'!$L$16"}</definedName>
    <definedName name="___a1" hidden="1">{"'Sheet1'!$L$16"}</definedName>
    <definedName name="___a10" hidden="1">{"'Sheet1'!$L$16"}</definedName>
    <definedName name="___a11" hidden="1">{"'Sheet1'!$L$16"}</definedName>
    <definedName name="___a12" hidden="1">{"'Sheet1'!$L$16"}</definedName>
    <definedName name="___a2" hidden="1">{"'Sheet1'!$L$16"}</definedName>
    <definedName name="___a3" hidden="1">{"'Sheet1'!$L$16"}</definedName>
    <definedName name="___a4" hidden="1">{"'Sheet1'!$L$16"}</definedName>
    <definedName name="___a5" hidden="1">{"'Sheet1'!$L$16"}</definedName>
    <definedName name="___a7" hidden="1">{"'Sheet1'!$L$16"}</definedName>
    <definedName name="___a8" hidden="1">{"'Sheet1'!$L$16"}</definedName>
    <definedName name="___a9" hidden="1">{"'Sheet1'!$L$16"}</definedName>
    <definedName name="___CD2" hidden="1">{"'Sheet1'!$L$16"}</definedName>
    <definedName name="___d1500" hidden="1">{"'Sheet1'!$L$16"}</definedName>
    <definedName name="___f5" hidden="1">{"'Sheet1'!$L$16"}</definedName>
    <definedName name="___FAB4" hidden="1">#REF!</definedName>
    <definedName name="___Goi8" hidden="1">{"'Sheet1'!$L$16"}</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___M2" hidden="1">{"'Sheet1'!$L$16"}</definedName>
    <definedName name="___m4" hidden="1">{"'Sheet1'!$L$16"}</definedName>
    <definedName name="___NSO2" hidden="1">{"'Sheet1'!$L$16"}</definedName>
    <definedName name="___PA3" hidden="1">{"'Sheet1'!$L$16"}</definedName>
    <definedName name="___pa4" hidden="1">{"'Sheet1'!$L$16"}</definedName>
    <definedName name="___PL3" hidden="1">{"'Sheet1'!$L$16"}</definedName>
    <definedName name="___QUY4" hidden="1">{"'Sheet1'!$L$16"}</definedName>
    <definedName name="___SCL4" hidden="1">{"'Sheet1'!$L$16"}</definedName>
    <definedName name="___T1" hidden="1">{"'Sheet1'!$L$16"}</definedName>
    <definedName name="___tt3" hidden="1">{"'Sheet1'!$L$16"}</definedName>
    <definedName name="__123Graph_APRINCIPAL" hidden="1">#REF!</definedName>
    <definedName name="__123Graph_ARISK" hidden="1">#REF!</definedName>
    <definedName name="__123Graph_BRISK" hidden="1">#REF!</definedName>
    <definedName name="__123Graph_D" hidden="1">#REF!</definedName>
    <definedName name="__123Graph_LBL_APRINCIPAL" hidden="1">#REF!</definedName>
    <definedName name="__a1" hidden="1">{"'Sheet1'!$L$16"}</definedName>
    <definedName name="__a10" hidden="1">{"'Sheet1'!$L$16"}</definedName>
    <definedName name="__a11" hidden="1">{"'Sheet1'!$L$16"}</definedName>
    <definedName name="__a12"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14" hidden="1">{"TAG1AGMS",#N/A,FALSE,"TAG 1A"}</definedName>
    <definedName name="__a15" hidden="1">{"weichwaren",#N/A,FALSE,"Liste 1";"hartwaren",#N/A,FALSE,"Liste 1";"food",#N/A,FALSE,"Liste 1";"fleisch",#N/A,FALSE,"Liste 1"}</definedName>
    <definedName name="__a16" hidden="1">{"weichwaren",#N/A,FALSE,"Liste 1";"hartwaren",#N/A,FALSE,"Liste 1";"food",#N/A,FALSE,"Liste 1";"fleisch",#N/A,FALSE,"Liste 1"}</definedName>
    <definedName name="__a17" hidden="1">{"TAG1AGMS",#N/A,FALSE,"TAG 1A"}</definedName>
    <definedName name="__a18" hidden="1">{"Tages_D",#N/A,FALSE,"Tagesbericht";"Tages_PL",#N/A,FALSE,"Tagesbericht"}</definedName>
    <definedName name="__a19" hidden="1">{"fleisch",#N/A,FALSE,"WG HK";"food",#N/A,FALSE,"WG HK";"hartwaren",#N/A,FALSE,"WG HK";"weichwaren",#N/A,FALSE,"WG HK"}</definedName>
    <definedName name="__a2" hidden="1">{"'Sheet1'!$L$16"}</definedName>
    <definedName name="__a3" hidden="1">{"'Sheet1'!$L$16"}</definedName>
    <definedName name="__a33" hidden="1">{"fleisch",#N/A,FALSE,"WG HK";"food",#N/A,FALSE,"WG HK";"hartwaren",#N/A,FALSE,"WG HK";"weichwaren",#N/A,FALSE,"WG HK"}</definedName>
    <definedName name="__a4" hidden="1">{"'Sheet1'!$L$16"}</definedName>
    <definedName name="__a5" hidden="1">{"'Sheet1'!$L$16"}</definedName>
    <definedName name="__a55" hidden="1">{"Tages_D",#N/A,FALSE,"Tagesbericht";"Tages_PL",#N/A,FALSE,"Tagesbericht"}</definedName>
    <definedName name="__a66" hidden="1">{"TAG1AGMS",#N/A,FALSE,"TAG 1A"}</definedName>
    <definedName name="__a7" hidden="1">{"'Sheet1'!$L$16"}</definedName>
    <definedName name="__a8" hidden="1">{"'Sheet1'!$L$16"}</definedName>
    <definedName name="__a9" hidden="1">{"'Sheet1'!$L$16"}</definedName>
    <definedName name="__aa22" hidden="1">{"Tages_D",#N/A,FALSE,"Tagesbericht";"Tages_PL",#N/A,FALSE,"Tagesbericht"}</definedName>
    <definedName name="__b18" hidden="1">{"Tages_D",#N/A,FALSE,"Tagesbericht";"Tages_PL",#N/A,FALSE,"Tagesbericht"}</definedName>
    <definedName name="__b19" hidden="1">{"Tages_D",#N/A,FALSE,"Tagesbericht";"Tages_PL",#N/A,FALSE,"Tagesbericht"}</definedName>
    <definedName name="__CD2" hidden="1">{"'Sheet1'!$L$16"}</definedName>
    <definedName name="__d1500" hidden="1">{"'Sheet1'!$L$16"}</definedName>
    <definedName name="__f5" hidden="1">{"'Sheet1'!$L$16"}</definedName>
    <definedName name="__FAB4" hidden="1">#REF!</definedName>
    <definedName name="__FDS_HYPERLINK_TOGGLE_STATE__" hidden="1">"ON"</definedName>
    <definedName name="__Goi8" hidden="1">{"'Sheet1'!$L$16"}</definedName>
    <definedName name="__h1"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IntlFixup" hidden="1">TRUE</definedName>
    <definedName name="__IntlFixupTable" hidden="1">#REF!</definedName>
    <definedName name="__Lan1" hidden="1">{"'Sheet1'!$L$16"}</definedName>
    <definedName name="__M2" hidden="1">{"'Sheet1'!$L$16"}</definedName>
    <definedName name="__M36" hidden="1">{"'Sheet1'!$L$16"}</definedName>
    <definedName name="__m4" hidden="1">{"'Sheet1'!$L$16"}</definedName>
    <definedName name="__NSO2" hidden="1">{"'Sheet1'!$L$16"}</definedName>
    <definedName name="__PA3" hidden="1">{"'Sheet1'!$L$16"}</definedName>
    <definedName name="__pa4" hidden="1">{"'Sheet1'!$L$16"}</definedName>
    <definedName name="__pd10" hidden="1">{"'Summary'!$A$1:$J$46"}</definedName>
    <definedName name="__PD11" hidden="1">{"'Summary'!$A$1:$J$46"}</definedName>
    <definedName name="__PL3" hidden="1">{"'Sheet1'!$L$16"}</definedName>
    <definedName name="__QUY4" hidden="1">{"'Sheet1'!$L$16"}</definedName>
    <definedName name="__SCL4" hidden="1">{"'Sheet1'!$L$16"}</definedName>
    <definedName name="__SD30" hidden="1">{"'Summary'!$A$1:$J$46"}</definedName>
    <definedName name="__tt3" hidden="1">{"'Sheet1'!$L$16"}</definedName>
    <definedName name="__u18" hidden="1">{"Tages_D",#N/A,FALSE,"Tagesbericht";"Tages_PL",#N/A,FALSE,"Tagesbericht"}</definedName>
    <definedName name="__u20" hidden="1">{"fleisch",#N/A,FALSE,"WG HK";"food",#N/A,FALSE,"WG HK";"hartwaren",#N/A,FALSE,"WG HK";"weichwaren",#N/A,FALSE,"WG HK"}</definedName>
    <definedName name="__v5"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W2" hidden="1">{"'Sheet1'!$L$16"}</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1">#REF!</definedName>
    <definedName name="_1___123Graph_ACHART_3" hidden="1">#REF!</definedName>
    <definedName name="_10___123Graph_ECHART_4" hidden="1">#REF!</definedName>
    <definedName name="_10000">#REF!</definedName>
    <definedName name="_1000A01">#N/A</definedName>
    <definedName name="_10TRÒ_GIAÙ">#REF!</definedName>
    <definedName name="_11___123Graph_FCHART_3" hidden="1">#REF!</definedName>
    <definedName name="_11TRÒ_GIAÙ__VAT">#REF!</definedName>
    <definedName name="_12___123Graph_FCHART_4" hidden="1">#REF!</definedName>
    <definedName name="_13___123Graph_XCHART_4" hidden="1">#REF!</definedName>
    <definedName name="_14__123Graph_ACHART_3" hidden="1">#REF!</definedName>
    <definedName name="_15__123Graph_ACHART_4" hidden="1">#REF!</definedName>
    <definedName name="_16__123Graph_BCHART_3" hidden="1">#REF!</definedName>
    <definedName name="_17__123Graph_BCHART_4" hidden="1">#REF!</definedName>
    <definedName name="_18__123Graph_CCHART_3" hidden="1">#REF!</definedName>
    <definedName name="_19__123Graph_CCHART_4" hidden="1">#REF!</definedName>
    <definedName name="_1Index">1</definedName>
    <definedName name="_2">#REF!</definedName>
    <definedName name="_2___123Graph_ACHART_4" hidden="1">#REF!</definedName>
    <definedName name="_20__123Graph_DCHART_3" hidden="1">#REF!</definedName>
    <definedName name="_21__123Graph_DCHART_4" hidden="1">#REF!</definedName>
    <definedName name="_22__123Graph_ECHART_3" hidden="1">#REF!</definedName>
    <definedName name="_23__123Graph_ECHART_4" hidden="1">#REF!</definedName>
    <definedName name="_24__123Graph_FCHART_3" hidden="1">#REF!</definedName>
    <definedName name="_25__123Graph_FCHART_4" hidden="1">#REF!</definedName>
    <definedName name="_26__123Graph_XCHART_4" hidden="1">#REF!</definedName>
    <definedName name="_2MAÕ_HAØNG">#REF!</definedName>
    <definedName name="_3">#REF!</definedName>
    <definedName name="_3___123Graph_BCHART_3" hidden="1">#REF!</definedName>
    <definedName name="_3MAÕ_SOÁ_THUEÁ">#REF!</definedName>
    <definedName name="_4___123Graph_BCHART_4" hidden="1">#REF!</definedName>
    <definedName name="_4ÑÔN_GIAÙ">#REF!</definedName>
    <definedName name="_5___123Graph_CCHART_3" hidden="1">#REF!</definedName>
    <definedName name="_5SOÁ_CTÖØ">#REF!</definedName>
    <definedName name="_6___123Graph_CCHART_4" hidden="1">#REF!</definedName>
    <definedName name="_6SOÁ_LÖÔÏNG">#REF!</definedName>
    <definedName name="_7___123Graph_DCHART_3" hidden="1">#REF!</definedName>
    <definedName name="_7TEÂN_HAØNG">#REF!</definedName>
    <definedName name="_8___123Graph_DCHART_4" hidden="1">#REF!</definedName>
    <definedName name="_8TEÂN_KHAÙCH_HAØ">#REF!</definedName>
    <definedName name="_9___123Graph_ECHART_3" hidden="1">#REF!</definedName>
    <definedName name="_9THAØNH_TIEÀN">#REF!</definedName>
    <definedName name="_a1" hidden="1">{"'Sheet1'!$L$16"}</definedName>
    <definedName name="_a10" hidden="1">{"'Sheet1'!$L$16"}</definedName>
    <definedName name="_A100" hidden="1">{"'Sheet1'!$L$16"}</definedName>
    <definedName name="_a11" hidden="1">{"'Sheet1'!$L$16"}</definedName>
    <definedName name="_a12"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4" hidden="1">{"TAG1AGMS",#N/A,FALSE,"TAG 1A"}</definedName>
    <definedName name="_a15" hidden="1">{"weichwaren",#N/A,FALSE,"Liste 1";"hartwaren",#N/A,FALSE,"Liste 1";"food",#N/A,FALSE,"Liste 1";"fleisch",#N/A,FALSE,"Liste 1"}</definedName>
    <definedName name="_a16" hidden="1">{"weichwaren",#N/A,FALSE,"Liste 1";"hartwaren",#N/A,FALSE,"Liste 1";"food",#N/A,FALSE,"Liste 1";"fleisch",#N/A,FALSE,"Liste 1"}</definedName>
    <definedName name="_a17" hidden="1">{"TAG1AGMS",#N/A,FALSE,"TAG 1A"}</definedName>
    <definedName name="_a18" hidden="1">{"Tages_D",#N/A,FALSE,"Tagesbericht";"Tages_PL",#N/A,FALSE,"Tagesbericht"}</definedName>
    <definedName name="_a19" hidden="1">{"fleisch",#N/A,FALSE,"WG HK";"food",#N/A,FALSE,"WG HK";"hartwaren",#N/A,FALSE,"WG HK";"weichwaren",#N/A,FALSE,"WG HK"}</definedName>
    <definedName name="_a2" hidden="1">{"'Sheet1'!$L$16"}</definedName>
    <definedName name="_a2v1" hidden="1">{"'Sheet1'!$L$16"}</definedName>
    <definedName name="_a3" hidden="1">{"'Sheet1'!$L$16"}</definedName>
    <definedName name="_a33" hidden="1">{"fleisch",#N/A,FALSE,"WG HK";"food",#N/A,FALSE,"WG HK";"hartwaren",#N/A,FALSE,"WG HK";"weichwaren",#N/A,FALSE,"WG HK"}</definedName>
    <definedName name="_a4" hidden="1">{"'Sheet1'!$L$16"}</definedName>
    <definedName name="_a5" hidden="1">{"'Sheet1'!$L$16"}</definedName>
    <definedName name="_a55" hidden="1">{"Tages_D",#N/A,FALSE,"Tagesbericht";"Tages_PL",#N/A,FALSE,"Tagesbericht"}</definedName>
    <definedName name="_a66" hidden="1">{"TAG1AGMS",#N/A,FALSE,"TAG 1A"}</definedName>
    <definedName name="_a7" hidden="1">{"'Sheet1'!$L$16"}</definedName>
    <definedName name="_á7" hidden="1">{"TAG1AGMS",#N/A,FALSE,"TAG 1A"}</definedName>
    <definedName name="_a8" hidden="1">{"'Sheet1'!$L$16"}</definedName>
    <definedName name="_a9" hidden="1">{"'Sheet1'!$L$16"}</definedName>
    <definedName name="_aa22" hidden="1">{"Tages_D",#N/A,FALSE,"Tagesbericht";"Tages_PL",#N/A,FALSE,"Tagesbericht"}</definedName>
    <definedName name="_ABC1" hidden="1">{"'Sheet1'!$L$16"}</definedName>
    <definedName name="_AMO_ContentDefinition_467123702" hidden="1">"'Partitions:5'"</definedName>
    <definedName name="_AMO_ContentDefinition_467123702.0" hidden="1">"'&lt;ContentDefinition name=""SASMain:CFCPUB.RETURN"" rsid=""467123702"" type=""PivotTable"" format=""REPORTXML"" imgfmt=""ACTIVEX"" created=""02/10/2009 14:46:12"" modifed=""02/10/2009 17:11:27"" user="" "" apply=""False"" thread=""BACKGROUND"" css=""C:\'"</definedName>
    <definedName name="_AMO_ContentDefinition_467123702.1" hidden="1">"'Program Files\SAS\Shared Files\BIClientStyles\AMODefault.css"" range=""SASMain_CFCPUB_RETURN"" auto=""False"" rdc=""False"" mig=""False"" xTime=""00:00:00.0156254"" rTime=""00:00:06.4064140"" bgnew=""False"" nFmt=""False"" grphSet=""False"" imgY=""'"</definedName>
    <definedName name="_AMO_ContentDefinition_467123702.2" hidden="1">"'0"" imgX=""0""&gt;_x000D_&lt;files /&gt;_x000D_&lt;param n=""DisplayName"" v=""SASMain:CFCPUB.RETURN"" /&gt;_x000D_&lt;param n=""AMO_Version"" v=""2.1"" /&gt;_x000D_&lt;param n=""NamedRange"" v=""_AMO_SingleObject_467123702_PivotTable_467123702"" /&gt;_x000D_&lt;param n=""DataSourceType"" v=""S'"</definedName>
    <definedName name="_AMO_ContentDefinition_467123702.3" hidden="1">"'AS DATASET"" /&gt;_x000D_&lt;param n=""DataSource"" v=""&amp;lt;SasDataSource Version=&amp;quot;2.1&amp;quot; Type=&amp;quot;SAS.Servers.Dataset&amp;quot; Svr=&amp;quot;SASMain&amp;quot; Lib=&amp;quot;CFCPUB&amp;quot; UseLbls=&amp;quot;true&amp;quot; ColSelFlg=&amp;quot;0&amp;quot; Name=&amp;quot;RETURN&amp;quot; /&amp;gt'"</definedName>
    <definedName name="_AMO_ContentDefinition_467123702.4" hidden="1">"';"" /&gt;_x000D_&lt;param n=""ServerName"" v=""SASMain"" /&gt;_x000D_&lt;param n=""SASFilter"" v="""" /&gt;_x000D_&lt;param n=""ClassName"" v=""SAS.OfficeAddin.PivotTable"" /&gt;_x000D_&lt;/ContentDefinition&gt;'"</definedName>
    <definedName name="_AMO_ContentLocation_467123702_PivotTable_467123702" hidden="1">"'&lt;ContentLocation path=""467123702"" rsid=""467123702"" tag=""PivotTable"" fid=""0"" /&gt;'"</definedName>
    <definedName name="_AMO_RefreshMultipleList" hidden="1">"'467123702'"</definedName>
    <definedName name="_AMO_XmlVersion" hidden="1">"'1'"</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18" hidden="1">{"Tages_D",#N/A,FALSE,"Tagesbericht";"Tages_PL",#N/A,FALSE,"Tagesbericht"}</definedName>
    <definedName name="_b19" hidden="1">{"Tages_D",#N/A,FALSE,"Tagesbericht";"Tages_PL",#N/A,FALSE,"Tagesbericht"}</definedName>
    <definedName name="_bdm.5112C973A12C46D486356BCE22CB3428.edm" hidden="1">#REF!</definedName>
    <definedName name="_bdm.68A7F6B12CDB43A29290E5A027D6A2F4.edm" hidden="1">#REF!</definedName>
    <definedName name="_bdm.84694478ABDB4985A7366A9A70B512E5.edm" hidden="1">#REF!</definedName>
    <definedName name="_bdm.8DCDF7DE86DC4104A6A1FE24177227C1.edm" hidden="1">#REF!</definedName>
    <definedName name="_bdm.F1CA440B53EF4B1C8884A562EDC3DBC8.edm" hidden="1">#REF!</definedName>
    <definedName name="_blm12">#REF!</definedName>
    <definedName name="_blm16">#REF!</definedName>
    <definedName name="_blm18">#REF!</definedName>
    <definedName name="_blm20">#REF!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50">#REF!</definedName>
    <definedName name="_btM300">#REF!</definedName>
    <definedName name="_BTM50">#REF!</definedName>
    <definedName name="_c" hidden="1">{"Tages_D",#N/A,FALSE,"Tagesbericht";"Tages_PL",#N/A,FALSE,"Tagesbericht"}</definedName>
    <definedName name="_Cau2">#REF!</definedName>
    <definedName name="_CD2" hidden="1">{"'Sheet1'!$L$16"}</definedName>
    <definedName name="_CON1">#REF!</definedName>
    <definedName name="_CON2">#REF!</definedName>
    <definedName name="_cpd1">#REF!</definedName>
    <definedName name="_cpd2">#REF!</definedName>
    <definedName name="_CT250">#REF!</definedName>
    <definedName name="_d1500" hidden="1">{"'Sheet1'!$L$16"}</definedName>
    <definedName name="_dao1">#REF!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E99999">#REF!</definedName>
    <definedName name="_f5" hidden="1">{"'Sheet1'!$L$16"}</definedName>
    <definedName name="_FAB4" hidden="1">#REF!</definedName>
    <definedName name="_Fill" hidden="1">#REF!</definedName>
    <definedName name="_xlnm._FilterDatabase" hidden="1">#REF!</definedName>
    <definedName name="_Goi8" hidden="1">{"'Sheet1'!$L$16"}</definedName>
    <definedName name="_gon4">#REF!</definedName>
    <definedName name="_h1" hidden="1">{"'Sheet1'!$L$16"}</definedName>
    <definedName name="_hom2">#REF!</definedName>
    <definedName name="_hsm2">1.1289</definedName>
    <definedName name="_hu1" hidden="1">{"'Sheet1'!$L$16"}</definedName>
    <definedName name="_hu2" hidden="1">{"'Sheet1'!$L$16"}</definedName>
    <definedName name="_hu5" hidden="1">{"'Sheet1'!$L$16"}</definedName>
    <definedName name="_hu6" hidden="1">{"'Sheet1'!$L$16"}</definedName>
    <definedName name="_hu7" hidden="1">{"'Sheet1'!$L$16"}</definedName>
    <definedName name="_K146" hidden="1">{"'Sheet1'!$L$16"}</definedName>
    <definedName name="_Key1" hidden="1">#REF!</definedName>
    <definedName name="_Key2" hidden="1">#REF!</definedName>
    <definedName name="_khu7">#REF!</definedName>
    <definedName name="_Lan1" hidden="1">{"'Sheet1'!$L$16"}</definedName>
    <definedName name="_Lan2" hidden="1">{"'Sheet1'!$L$16"}</definedName>
    <definedName name="_LAN3" hidden="1">{"'Sheet1'!$L$16"}</definedName>
    <definedName name="_lap1">#REF!</definedName>
    <definedName name="_lap2">#REF!</definedName>
    <definedName name="_ld2" hidden="1">{"'Sheet1'!$L$16"}</definedName>
    <definedName name="_lk2" hidden="1">{"'Sheet1'!$L$16"}</definedName>
    <definedName name="_M2" hidden="1">{"'Sheet1'!$L$16"}</definedName>
    <definedName name="_M36" hidden="1">{"'Sheet1'!$L$16"}</definedName>
    <definedName name="_m4" hidden="1">{"'Sheet1'!$L$16"}</definedName>
    <definedName name="_MAC12">#REF!</definedName>
    <definedName name="_MAC46">#REF!</definedName>
    <definedName name="_MB1">#REF!</definedName>
    <definedName name="_MB2">#REF!</definedName>
    <definedName name="_MN1">#REF!</definedName>
    <definedName name="_MN2">#REF!</definedName>
    <definedName name="_MT1">#REF!</definedName>
    <definedName name="_MT2">#REF!</definedName>
    <definedName name="_NC100">#REF!</definedName>
    <definedName name="_NC150">#REF!</definedName>
    <definedName name="_nc151">#REF!</definedName>
    <definedName name="_NCL100">#REF!</definedName>
    <definedName name="_NCL200">#REF!</definedName>
    <definedName name="_NCL250">#REF!</definedName>
    <definedName name="_NET2">#REF!</definedName>
    <definedName name="_nin190">#REF!</definedName>
    <definedName name="_NK5" hidden="1">{"'Sheet1'!$L$16"}</definedName>
    <definedName name="_NOS2" hidden="1">{"'Sheet1'!$L$16"}</definedName>
    <definedName name="_NS02" hidden="1">{"'Sheet1'!$L$16"}</definedName>
    <definedName name="_NSO2" hidden="1">{"'Sheet1'!$L$16"}</definedName>
    <definedName name="_Order1" hidden="1">255</definedName>
    <definedName name="_Order2" hidden="1">255</definedName>
    <definedName name="_PA3" hidden="1">{"'Sheet1'!$L$16"}</definedName>
    <definedName name="_pa4" hidden="1">{"'Sheet1'!$L$16"}</definedName>
    <definedName name="_Parse_In" hidden="1">#REF!</definedName>
    <definedName name="_Parse_Out" hidden="1">#REF!</definedName>
    <definedName name="_PL3" hidden="1">{"'Sheet1'!$L$16"}</definedName>
    <definedName name="_QUY4" hidden="1">{"'Sheet1'!$L$16"}</definedName>
    <definedName name="_Regression_Int" hidden="1">1</definedName>
    <definedName name="_Regression_Out" hidden="1">#REF!</definedName>
    <definedName name="_Regression_X" hidden="1">#REF!</definedName>
    <definedName name="_Regression_Y" hidden="1">#REF!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sat10">#REF!</definedName>
    <definedName name="_sat12">#REF!</definedName>
    <definedName name="_sat14">#REF!</definedName>
    <definedName name="_sat16">#REF!</definedName>
    <definedName name="_sat20">#REF!</definedName>
    <definedName name="_sat8">#REF!</definedName>
    <definedName name="_sc1">#REF!</definedName>
    <definedName name="_SC2">#REF!</definedName>
    <definedName name="_sc3">#REF!</definedName>
    <definedName name="_SCL4" hidden="1">{"'Sheet1'!$L$16"}</definedName>
    <definedName name="_SN3">#REF!</definedName>
    <definedName name="_Sort" hidden="1">#REF!</definedName>
    <definedName name="_STD0898">#REF!</definedName>
    <definedName name="_sua20">#REF!</definedName>
    <definedName name="_sua30">#REF!</definedName>
    <definedName name="_T01" hidden="1">#REF!</definedName>
    <definedName name="_T1" hidden="1">{"'Sheet1'!$L$16"}</definedName>
    <definedName name="_T8" hidden="1">{"'Sheet1'!$L$16"}</definedName>
    <definedName name="_table_ou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b2" hidden="1">{"'Sheet1'!$L$16"}</definedName>
    <definedName name="_tct18">#REF!</definedName>
    <definedName name="_tct5">#REF!</definedName>
    <definedName name="_td1" hidden="1">{"'Sheet1'!$L$16"}</definedName>
    <definedName name="_tg427">#REF!</definedName>
    <definedName name="_TK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t3" hidden="1">{"'Sheet1'!$L$16"}</definedName>
    <definedName name="_TH1">#REF!</definedName>
    <definedName name="_TH2">#REF!</definedName>
    <definedName name="_TH20">#REF!</definedName>
    <definedName name="_TH3">#REF!</definedName>
    <definedName name="_u18" hidden="1">{"Tages_D",#N/A,FALSE,"Tagesbericht";"Tages_PL",#N/A,FALSE,"Tagesbericht"}</definedName>
    <definedName name="_u20" hidden="1">{"fleisch",#N/A,FALSE,"WG HK";"food",#N/A,FALSE,"WG HK";"hartwaren",#N/A,FALSE,"WG HK";"weichwaren",#N/A,FALSE,"WG HK"}</definedName>
    <definedName name="_UT2">#REF!</definedName>
    <definedName name="_vc1">#REF!</definedName>
    <definedName name="_vc2">#REF!</definedName>
    <definedName name="_vc3">#REF!</definedName>
    <definedName name="_VL100">#REF!</definedName>
    <definedName name="_VL150">#REF!</definedName>
    <definedName name="_VL250">#REF!</definedName>
    <definedName name="_vln6">#REF!</definedName>
    <definedName name="_VLP2"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W2" hidden="1">{"'Sheet1'!$L$16"}</definedName>
    <definedName name="_xm30">#REF!</definedName>
    <definedName name="_xx3">#REF!</definedName>
    <definedName name="_xx4">#REF!</definedName>
    <definedName name="_xx5">#REF!</definedName>
    <definedName name="_xx6">#REF!</definedName>
    <definedName name="_xx7">#REF!</definedName>
    <definedName name="_ytnn" hidden="1">#REF!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20_">#REF!</definedName>
    <definedName name="a129a" hidden="1">{"Offgrid",#N/A,FALSE,"OFFGRID";"Region",#N/A,FALSE,"REGION";"Offgrid -2",#N/A,FALSE,"OFFGRID";"WTP",#N/A,FALSE,"WTP";"WTP -2",#N/A,FALSE,"WTP";"Project",#N/A,FALSE,"PROJECT";"Summary -2",#N/A,FALSE,"SUMMARY"}</definedName>
    <definedName name="A1Xc7">#REF!</definedName>
    <definedName name="a277Print_Titles">#REF!</definedName>
    <definedName name="A35_">#REF!</definedName>
    <definedName name="A50_">#REF!</definedName>
    <definedName name="A70_">#REF!</definedName>
    <definedName name="A95_">#REF!</definedName>
    <definedName name="AA">#REF!</definedName>
    <definedName name="AAA">#REF!</definedName>
    <definedName name="AAA_DOCTOPS" hidden="1">"AAA_SET"</definedName>
    <definedName name="AAA_duser" hidden="1">"OFF"</definedName>
    <definedName name="aaaaaa" hidden="1">#N/A</definedName>
    <definedName name="aaaaaaaa" hidden="1">{"Tages_D",#N/A,FALSE,"Tagesbericht";"Tages_PL",#N/A,FALSE,"Tagesbericht"}</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we" hidden="1">{"weichwaren",#N/A,FALSE,"Liste 1";"hartwaren",#N/A,FALSE,"Liste 1";"food",#N/A,FALSE,"Liste 1";"fleisch",#N/A,FALSE,"Liste 1"}</definedName>
    <definedName name="aaww" hidden="1">{"weichwaren",#N/A,FALSE,"Liste 1";"hartwaren",#N/A,FALSE,"Liste 1";"food",#N/A,FALSE,"Liste 1";"fleisch",#N/A,FALSE,"Liste 1"}</definedName>
    <definedName name="ABAB" hidden="1">{#N/A,#N/A,FALSE,"CCTV"}</definedName>
    <definedName name="ABC" hidden="1">{"'Sheet1'!$L$16"}</definedName>
    <definedName name="AC120_">#REF!</definedName>
    <definedName name="AC35_">#REF!</definedName>
    <definedName name="AC50_">#REF!</definedName>
    <definedName name="AC70_">#REF!</definedName>
    <definedName name="AC95_">#REF!</definedName>
    <definedName name="AccessDatabase" hidden="1">"C:\AFIF\ZAMMASTER AFIF ICIN.mdb"</definedName>
    <definedName name="ACwvu.inputs._.raw._.data." hidden="1">#REF!</definedName>
    <definedName name="ACwvu.summary1." hidden="1">#REF!</definedName>
    <definedName name="ACwvu.summary2." hidden="1">#REF!</definedName>
    <definedName name="ACwvu.summary3." hidden="1">#REF!</definedName>
    <definedName name="ADEQ">#REF!</definedName>
    <definedName name="adf">#REF!</definedName>
    <definedName name="ADFHA" hidden="1">{"'Sheet1'!$L$16"}</definedName>
    <definedName name="ADFHGADFH" hidden="1">{"'Sheet1'!$L$16"}</definedName>
    <definedName name="aert" hidden="1">{"'Sheet1'!$L$16"}</definedName>
    <definedName name="AF" hidden="1">{"'장비'!$A$3:$M$12"}</definedName>
    <definedName name="afasfsagfas" hidden="1">{#N/A,#N/A,FALSE,"Chi tiÆt"}</definedName>
    <definedName name="AG">#REF!</definedName>
    <definedName name="AG_Temp">#REF!</definedName>
    <definedName name="Ageing1">#REF!</definedName>
    <definedName name="ah" hidden="1">{"'Sheet1'!$L$16"}</definedName>
    <definedName name="akdljlvjosld" hidden="1">{"'Sheet1'!$L$16"}</definedName>
    <definedName name="All_Item">#REF!</definedName>
    <definedName name="ALPIN">#N/A</definedName>
    <definedName name="ALPJYOU">#N/A</definedName>
    <definedName name="ALPTOI">#N/A</definedName>
    <definedName name="anpha">#REF!</definedName>
    <definedName name="anscount" hidden="1">1</definedName>
    <definedName name="Antoan" hidden="1">{"'Sheet1'!$L$16"}</definedName>
    <definedName name="äöüp" hidden="1">{"TAG1AGMS",#N/A,FALSE,"TAG 1A"}</definedName>
    <definedName name="AP" hidden="1">{"'Sheet1'!$L$16"}</definedName>
    <definedName name="AppRoad">#REF!</definedName>
    <definedName name="approval">#REF!</definedName>
    <definedName name="aq" hidden="1">{#N/A,#N/A,FALSE,"Sensitivity"}</definedName>
    <definedName name="Area">#REF!</definedName>
    <definedName name="AS2DocOpenMode" hidden="1">"AS2DocumentEdit"</definedName>
    <definedName name="AS2HasNoAutoHeaderFooter" hidden="1">" "</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hidden="1">{"'Sheet1'!$L$16"}</definedName>
    <definedName name="ase" hidden="1">{"Tages_D",#N/A,FALSE,"Tagesbericht";"Tages_PL",#N/A,FALSE,"Tagesbericht"}</definedName>
    <definedName name="ased" hidden="1">{"Tages_D",#N/A,FALSE,"Tagesbericht";"Tages_PL",#N/A,FALSE,"Tagesbericht"}</definedName>
    <definedName name="asf" hidden="1">{"'Sheet1'!$L$16"}</definedName>
    <definedName name="asfafq" hidden="1">#N/A</definedName>
    <definedName name="asfasf" hidden="1">{"'Sheet1'!$L$16"}</definedName>
    <definedName name="asss" hidden="1">{"'Sheet1'!$L$16"}</definedName>
    <definedName name="ATGT" hidden="1">{"'Sheet1'!$L$16"}</definedName>
    <definedName name="AU" hidden="1">{"'Sheet1'!$L$16"}</definedName>
    <definedName name="avaaaaav" hidden="1">#N/A</definedName>
    <definedName name="Ââdad" hidden="1">{"'Sheet1'!$L$16"}</definedName>
    <definedName name="bac">20000</definedName>
    <definedName name="balance_type">1</definedName>
    <definedName name="ban">#REF!</definedName>
    <definedName name="banQL" hidden="1">{"'Sheet1'!$L$16"}</definedName>
    <definedName name="Bang_cly">#REF!</definedName>
    <definedName name="Bang_CVC">#REF!</definedName>
    <definedName name="bang_gia">#REF!</definedName>
    <definedName name="Bang_travl">#REF!</definedName>
    <definedName name="Bang7_THKL_HCM" hidden="1">{"'Sheet1'!$L$16"}</definedName>
    <definedName name="bangtinh">#REF!</definedName>
    <definedName name="BarData">#REF!</definedName>
    <definedName name="Bay">#REF!</definedName>
    <definedName name="BB">#REF!</definedName>
    <definedName name="bbb" hidden="1">{"TAG1AGMS",#N/A,FALSE,"TAG 1A"}</definedName>
    <definedName name="bc" hidden="1">{"'Sheet1'!$L$16"}</definedName>
    <definedName name="bcong5.03" hidden="1">{"'Sheet1'!$L$16"}</definedName>
    <definedName name="BCTQ" hidden="1">{"'Sheet1'!$L$16"}</definedName>
    <definedName name="Beginning_Balance">-FV(Interest_Rate/12,Payment_Number-1,-Monthly_Payment,Loan_Amount)</definedName>
    <definedName name="bernd" hidden="1">{"weichwaren",#N/A,FALSE,"Liste 1";"hartwaren",#N/A,FALSE,"Liste 1";"food",#N/A,FALSE,"Liste 1";"fleisch",#N/A,FALSE,"Liste 1"}</definedName>
    <definedName name="beta">#REF!</definedName>
    <definedName name="bf">#REF!</definedName>
    <definedName name="BG_Del" hidden="1">15</definedName>
    <definedName name="BG_Ins" hidden="1">4</definedName>
    <definedName name="BG_Mod" hidden="1">6</definedName>
    <definedName name="Bgiang" hidden="1">{"'Sheet1'!$L$16"}</definedName>
    <definedName name="bhfh" hidden="1">{"'Sheet1'!$L$16"}</definedName>
    <definedName name="BI" hidden="1">{"'Sheet1'!$L$16"}</definedName>
    <definedName name="binh" hidden="1">{"'Sheet1'!$L$16"}</definedName>
    <definedName name="bio">10^9</definedName>
    <definedName name="Blank">"-"</definedName>
    <definedName name="blang">#REF!</definedName>
    <definedName name="bleine.erg" hidden="1">{"fleisch",#N/A,FALSE,"WG HK";"food",#N/A,FALSE,"WG HK";"hartwaren",#N/A,FALSE,"WG HK";"weichwaren",#N/A,FALSE,"WG HK"}</definedName>
    <definedName name="BLOCK1">#REF!</definedName>
    <definedName name="BLOCK2">#REF!</definedName>
    <definedName name="BLOCK3">#REF!</definedName>
    <definedName name="blong">#REF!</definedName>
    <definedName name="bn">10^9</definedName>
    <definedName name="Bon">#REF!</definedName>
    <definedName name="Book2">#REF!</definedName>
    <definedName name="BOQ">#REF!</definedName>
    <definedName name="bosung" hidden="1">{"'Sheet1'!$L$16"}</definedName>
    <definedName name="Botanical2">#REF!</definedName>
    <definedName name="Botanical2.Jun">#REF!</definedName>
    <definedName name="BR_373">#REF!</definedName>
    <definedName name="BrName">#REF!</definedName>
    <definedName name="bt">#REF!</definedName>
    <definedName name="btcocM400">#REF!</definedName>
    <definedName name="btchiuaxitm300">#REF!</definedName>
    <definedName name="BTchiuaxm200">#REF!</definedName>
    <definedName name="btdc2" hidden="1">#REF!</definedName>
    <definedName name="btl" hidden="1">{"'Sheet1'!$L$16"}</definedName>
    <definedName name="BTlotm100">#REF!</definedName>
    <definedName name="Bud">#REF!</definedName>
    <definedName name="Button_26">"SOKTMAY1003_SOQUI_VND__List"</definedName>
    <definedName name="Button_28">"SOKTMAY1003_SOQUI_VND__List"</definedName>
    <definedName name="BVCISUMMARY">#REF!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days_per_year">365</definedName>
    <definedName name="c_months_per_year">12</definedName>
    <definedName name="C2.7">#REF!</definedName>
    <definedName name="C3.0">#REF!</definedName>
    <definedName name="C3.5">#REF!</definedName>
    <definedName name="C3.7">#REF!</definedName>
    <definedName name="C4.0">#REF!</definedName>
    <definedName name="Cable" hidden="1">{"'Sheet1'!$L$16"}</definedName>
    <definedName name="calc">1</definedName>
    <definedName name="cap">#REF!</definedName>
    <definedName name="cap0.7">#REF!</definedName>
    <definedName name="casting" hidden="1">{"'Sheet1'!$L$16"}</definedName>
    <definedName name="cat">#REF!</definedName>
    <definedName name="Category_All">#REF!</definedName>
    <definedName name="CATIN">#N/A</definedName>
    <definedName name="CATJYOU">#N/A</definedName>
    <definedName name="catm">#REF!</definedName>
    <definedName name="catn">#REF!</definedName>
    <definedName name="CATSYU">#N/A</definedName>
    <definedName name="CATREC">#N/A</definedName>
    <definedName name="Cau_1">#REF!</definedName>
    <definedName name="Cau_tam">#REF!</definedName>
    <definedName name="CBWorkbookPriority" hidden="1">-1807836116</definedName>
    <definedName name="cc">#REF!</definedName>
    <definedName name="ccc" hidden="1">{"weichwaren",#N/A,FALSE,"Liste 1";"hartwaren",#N/A,FALSE,"Liste 1";"food",#N/A,FALSE,"Liste 1";"fleisch",#N/A,FALSE,"Liste 1"}</definedName>
    <definedName name="ccccc" hidden="1">{"weichwaren",#N/A,FALSE,"Liste 1";"hartwaren",#N/A,FALSE,"Liste 1";"food",#N/A,FALSE,"Liste 1";"fleisch",#N/A,FALSE,"Liste 1"}</definedName>
    <definedName name="CCÑCangdung10.2" hidden="1">{"'Sheet1'!$L$16"}</definedName>
    <definedName name="CCS">#REF!</definedName>
    <definedName name="cd">#REF!</definedName>
    <definedName name="CDA">#REF!</definedName>
    <definedName name="CDD">#REF!</definedName>
    <definedName name="cdn">#REF!</definedName>
    <definedName name="Cdnum">#REF!</definedName>
    <definedName name="Céng">#REF!</definedName>
    <definedName name="cfc">#REF!</definedName>
    <definedName name="cfdsfdsfds" hidden="1">#REF!</definedName>
    <definedName name="cfk">#REF!</definedName>
    <definedName name="CIQWBGuid" hidden="1">"20140923 Ownership Adjustments.xlsx"</definedName>
    <definedName name="CK">#REF!</definedName>
    <definedName name="CL">#REF!</definedName>
    <definedName name="CLVC3">0.1</definedName>
    <definedName name="CLVCTB">#REF!</definedName>
    <definedName name="CLVL">#REF!</definedName>
    <definedName name="cmdCancel">"Button 3"</definedName>
    <definedName name="cmdOK">"Button 2"</definedName>
    <definedName name="cn">#REF!</definedName>
    <definedName name="CNC">#REF!</definedName>
    <definedName name="CND">#REF!</definedName>
    <definedName name="cne">#REF!</definedName>
    <definedName name="CNG">#REF!</definedName>
    <definedName name="Co">#REF!</definedName>
    <definedName name="coc">#REF!</definedName>
    <definedName name="CODE">#REF!</definedName>
    <definedName name="CODE1">#REF!</definedName>
    <definedName name="CODE2">#REF!</definedName>
    <definedName name="CODE3">#REF!</definedName>
    <definedName name="Cöï_ly_vaän_chuyeãn">#REF!</definedName>
    <definedName name="CÖÏ_LY_VAÄN_CHUYEÅN">#REF!</definedName>
    <definedName name="ColumnTitle1">#REF!</definedName>
    <definedName name="COMMON">#REF!</definedName>
    <definedName name="Comp">#REF!</definedName>
    <definedName name="CON_EQP_COS">#REF!</definedName>
    <definedName name="CON_EQP_COST">#REF!</definedName>
    <definedName name="CONST_EQ">#REF!</definedName>
    <definedName name="ContentsHelp" hidden="1">#N/A</definedName>
    <definedName name="CONVERT">13030000</definedName>
    <definedName name="Cong_HM_DTCT">#REF!</definedName>
    <definedName name="Cong_M_DTCT">#REF!</definedName>
    <definedName name="Cong_NC_DTCT">#REF!</definedName>
    <definedName name="Cong_VL_DTCT">#REF!</definedName>
    <definedName name="Congdoan">#REF!</definedName>
    <definedName name="CONGPA1" hidden="1">{"'Sheet1'!$L$16"}</definedName>
    <definedName name="congty" hidden="1">#REF!</definedName>
    <definedName name="Congvien" hidden="1">{"'Sheet1'!$L$16"}</definedName>
    <definedName name="COT">#REF!</definedName>
    <definedName name="cot7.5">#REF!</definedName>
    <definedName name="cot8.5">#REF!</definedName>
    <definedName name="COVER">#REF!</definedName>
    <definedName name="CP" hidden="1">#REF!</definedName>
    <definedName name="CPC">#REF!</definedName>
    <definedName name="cpdd1">#REF!</definedName>
    <definedName name="CPM" hidden="1">{#N/A,#N/A,FALSE,"Chi tiÆt"}</definedName>
    <definedName name="CPVC100">#REF!</definedName>
    <definedName name="CPVCDN">#REF!</definedName>
    <definedName name="CR" hidden="1">#N/A</definedName>
    <definedName name="CRD">#REF!</definedName>
    <definedName name="CreateTable" hidden="1">#N/A</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llowDetailBudgeting">0</definedName>
    <definedName name="csAllowLocalConsolidation">0</definedName>
    <definedName name="csAppName">"EME"</definedName>
    <definedName name="csd3p">#REF!</definedName>
    <definedName name="csddg1p">#REF!</definedName>
    <definedName name="csddt1p">#REF!</definedName>
    <definedName name="csDesignMode">1</definedName>
    <definedName name="csht3p">#REF!</definedName>
    <definedName name="csKeepAlive">5</definedName>
    <definedName name="csLocalConsolidationOnSubmit">0</definedName>
    <definedName name="csRefreshOnOpen">1</definedName>
    <definedName name="csRefreshOnRotate">1</definedName>
    <definedName name="CT_KSTK">#REF!</definedName>
    <definedName name="CT_MCX">#REF!</definedName>
    <definedName name="CTCT1" hidden="1">{"'Sheet1'!$L$16"}</definedName>
    <definedName name="ctdn9697">#REF!</definedName>
    <definedName name="ctiep">#REF!</definedName>
    <definedName name="ctieu" hidden="1">{"'Sheet1'!$L$16"}</definedName>
    <definedName name="ctmai">#REF!</definedName>
    <definedName name="ctong">#REF!</definedName>
    <definedName name="CTXT" hidden="1">{"'Sheet1'!$L$16"}</definedName>
    <definedName name="ctre">#REF!</definedName>
    <definedName name="CU_LY">#REF!</definedName>
    <definedName name="cung" hidden="1">{"'Sheet1'!$L$16"}</definedName>
    <definedName name="cuoc_vc">#REF!</definedName>
    <definedName name="cuong" hidden="1">{"'Sheet1'!$L$16"}</definedName>
    <definedName name="Cur_mth">2</definedName>
    <definedName name="Cur_mth_update">2</definedName>
    <definedName name="CURRENCY">#REF!</definedName>
    <definedName name="Current_month">4</definedName>
    <definedName name="cvbt">#REF!</definedName>
    <definedName name="cvx">#REF!</definedName>
    <definedName name="cx">#REF!</definedName>
    <definedName name="CH">#REF!</definedName>
    <definedName name="Ch_rong">#REF!</definedName>
    <definedName name="chamcongt3" hidden="1">{"'Sheet1'!$L$16"}</definedName>
    <definedName name="Channel">#REF!</definedName>
    <definedName name="ChangeRange" hidden="1">#N/A</definedName>
    <definedName name="char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i_tiÕt_vËt_liÖu___nh_n_c_ng___m_y_thi_c_ng">#REF!</definedName>
    <definedName name="chilk" hidden="1">{"'Sheet1'!$L$16"}</definedName>
    <definedName name="Chin">#REF!</definedName>
    <definedName name="Chiphi" hidden="1">{"'Sheet1'!$L$16"}</definedName>
    <definedName name="ChiPhiKhac">#REF!</definedName>
    <definedName name="chitiet3" hidden="1">{"'Sheet1'!$L$16"}</definedName>
    <definedName name="chitietbgiang2" hidden="1">{"'Sheet1'!$L$16"}</definedName>
    <definedName name="chl" hidden="1">{"'Sheet1'!$L$16"}</definedName>
    <definedName name="chó" hidden="1">{"'Sheet1'!$L$16"}</definedName>
    <definedName name="chon">#REF!</definedName>
    <definedName name="chon1">#REF!</definedName>
    <definedName name="chon2">#REF!</definedName>
    <definedName name="chon3">#REF!</definedName>
    <definedName name="chung">66</definedName>
    <definedName name="chuyen" hidden="1">{"'Sheet1'!$L$16"}</definedName>
    <definedName name="d" hidden="1">{"'Sheet1'!$L$16"}</definedName>
    <definedName name="D_7101A_B">#REF!</definedName>
    <definedName name="D_L">#REF!</definedName>
    <definedName name="d0.5x1">#REF!</definedName>
    <definedName name="d1x2">#REF!</definedName>
    <definedName name="d2x4">#REF!</definedName>
    <definedName name="da">#REF!</definedName>
    <definedName name="da1x2">#REF!</definedName>
    <definedName name="da2x4">#REF!</definedName>
    <definedName name="dad">#REF!</definedName>
    <definedName name="dah">#REF!</definedName>
    <definedName name="dahoc">#REF!</definedName>
    <definedName name="Dalan">#REF!</definedName>
    <definedName name="DALANPASTE">#REF!</definedName>
    <definedName name="dam">78000</definedName>
    <definedName name="danhmuc">#REF!</definedName>
    <definedName name="dao">#REF!</definedName>
    <definedName name="dap">#REF!</definedName>
    <definedName name="DAT">#REF!</definedName>
    <definedName name="data">#REF!</definedName>
    <definedName name="DATA_DATA2_List">#REF!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 hidden="1">#REF!</definedName>
    <definedName name="Data11">#REF!</definedName>
    <definedName name="data2" hidden="1">#REF!</definedName>
    <definedName name="data3" hidden="1">#REF!</definedName>
    <definedName name="Data41">#REF!</definedName>
    <definedName name="_xlnm.Database">#REF!</definedName>
    <definedName name="datak">#REF!</definedName>
    <definedName name="datal">#REF!</definedName>
    <definedName name="Date">#REF!</definedName>
    <definedName name="date_range">"Celladd2, Celladd3"</definedName>
    <definedName name="DATEE">#REF!</definedName>
    <definedName name="Dattt">#REF!</definedName>
    <definedName name="Datvv">#REF!</definedName>
    <definedName name="Dau_muc_CP">#REF!</definedName>
    <definedName name="day">#REF!</definedName>
    <definedName name="DBASE">#REF!</definedName>
    <definedName name="dche">#REF!</definedName>
    <definedName name="DD">#REF!</definedName>
    <definedName name="dd4x6">#REF!</definedName>
    <definedName name="ddamlot" hidden="1">{"'Sheet1'!$L$16"}</definedName>
    <definedName name="dday">#REF!</definedName>
    <definedName name="ddd" hidden="1">{"'Sheet1'!$L$16"}</definedName>
    <definedName name="dddd" hidden="1">#REF!</definedName>
    <definedName name="ddddd" hidden="1">{"Tages_D",#N/A,FALSE,"Tagesbericht";"Tages_PL",#N/A,FALSE,"Tagesbericht"}</definedName>
    <definedName name="ddddddddddddddddd" hidden="1">{#N/A,#N/A,FALSE,"Income State.";#N/A,#N/A,FALSE,"B-S"}</definedName>
    <definedName name="dden">#REF!</definedName>
    <definedName name="ddia">#REF!</definedName>
    <definedName name="de" hidden="1">{#N/A,#N/A,FALSE,"Sensitivity"}</definedName>
    <definedName name="Dec" hidden="1">#N/A</definedName>
    <definedName name="deí" hidden="1">{"'Sheet1'!$L$16"}</definedName>
    <definedName name="DeleteRange" hidden="1">#N/A</definedName>
    <definedName name="DeleteTable" hidden="1">#N/A</definedName>
    <definedName name="dem">#REF!</definedName>
    <definedName name="den_bu">#REF!</definedName>
    <definedName name="denbu">#REF!</definedName>
    <definedName name="DenDK" hidden="1">{"'Sheet1'!$L$16"}</definedName>
    <definedName name="deryhrfm" hidden="1">{"'Sheet1'!$L$16"}</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d">#REF!</definedName>
    <definedName name="dfdf">#REF!</definedName>
    <definedName name="dfg" hidden="1">{"Offgrid",#N/A,FALSE,"OFFGRID";"Region",#N/A,FALSE,"REGION";"Offgrid -2",#N/A,FALSE,"OFFGRID";"WTP",#N/A,FALSE,"WTP";"WTP -2",#N/A,FALSE,"WTP";"Project",#N/A,FALSE,"PROJECT";"Summary -2",#N/A,FALSE,"SUMMARY"}</definedName>
    <definedName name="dfh" hidden="1">{"'Sheet1'!$L$16"}</definedName>
    <definedName name="DFHADHA" hidden="1">{"'Sheet1'!$L$16"}</definedName>
    <definedName name="dfjsdhldfgkfd" hidden="1">{"'Sheet1'!$L$16"}</definedName>
    <definedName name="DFSDF" hidden="1">{"'Sheet1'!$L$16"}</definedName>
    <definedName name="dfsfsd" hidden="1">{"'Sheet1'!$L$16"}</definedName>
    <definedName name="dfsgsag" hidden="1">{"'Sheet1'!$L$16"}</definedName>
    <definedName name="DG_M_C_X">#REF!</definedName>
    <definedName name="dgc">#REF!</definedName>
    <definedName name="DGCTI592">#REF!</definedName>
    <definedName name="dgnc">#REF!</definedName>
    <definedName name="dgp">#REF!</definedName>
    <definedName name="dgsgsg" hidden="1">{"'Sheet1'!$L$16"}</definedName>
    <definedName name="dgvl">#REF!</definedName>
    <definedName name="DGIA">#REF!</definedName>
    <definedName name="DGIA2">#REF!</definedName>
    <definedName name="dh">#REF!</definedName>
    <definedName name="dhom">#REF!</definedName>
    <definedName name="dien">#REF!</definedName>
    <definedName name="dinh2">#REF!</definedName>
    <definedName name="dinhc">#REF!</definedName>
    <definedName name="dinhd">#REF!</definedName>
    <definedName name="Discount" hidden="1">#REF!</definedName>
    <definedName name="display_area_2" hidden="1">#REF!</definedName>
    <definedName name="Display_Week">#REF!</definedName>
    <definedName name="djt" hidden="1">{"'Sheet1'!$L$16"}</definedName>
    <definedName name="dl">#REF!</definedName>
    <definedName name="DLC">#REF!</definedName>
    <definedName name="dmat">#REF!</definedName>
    <definedName name="dmdv">#REF!</definedName>
    <definedName name="DMHH">#REF!</definedName>
    <definedName name="dmKH" hidden="1">OFFSET(#REF!,0,0,COUNTA(#REF!))</definedName>
    <definedName name="dmKHLoai" hidden="1">OFFSET(#REF!,0,0,COUNTA(#REF!))</definedName>
    <definedName name="dmMaKH" hidden="1">OFFSET(#REF!,0,0,COUNTA(#REF!))</definedName>
    <definedName name="dmMaVV" hidden="1">OFFSET(#REF!,0,0,COUNTA(#REF!))</definedName>
    <definedName name="dmObject" localSheetId="2" hidden="1">OFFSET(dmObj,0,0,COUNTA(dmObj))</definedName>
    <definedName name="dmObject" hidden="1">OFFSET(dmObj,0,0,COUNTA(dmObj))</definedName>
    <definedName name="dmTKObj" hidden="1">#REF!</definedName>
    <definedName name="DN">#REF!</definedName>
    <definedName name="DÑt45x4">#REF!</definedName>
    <definedName name="dobt">#REF!</definedName>
    <definedName name="Document_array">{"DZ-TDTB2.XLS","Dcksat.xls"}</definedName>
    <definedName name="DongiaPA1">#REF!</definedName>
    <definedName name="DongiaPA2">#REF!</definedName>
    <definedName name="dqwsdqw" hidden="1">{"'Sheet1'!$L$16"}</definedName>
    <definedName name="ds">#REF!</definedName>
    <definedName name="DS_2">#REF!</definedName>
    <definedName name="DS_305">#REF!</definedName>
    <definedName name="DS_381">#REF!</definedName>
    <definedName name="ds1pnc">#REF!</definedName>
    <definedName name="ds1pvl">#REF!</definedName>
    <definedName name="ds3pnc">#REF!</definedName>
    <definedName name="ds3pvl">#REF!</definedName>
    <definedName name="dsad" hidden="1">#REF!</definedName>
    <definedName name="dsct3pnc">#REF!</definedName>
    <definedName name="dsct3pvl">#REF!</definedName>
    <definedName name="DSDL" hidden="1">{"'Sheet1'!$L$16"}</definedName>
    <definedName name="dsds" hidden="1">{#N/A,#N/A,FALSE,"Title";#N/A,#N/A,FALSE,"Bal.sheet";#N/A,#N/A,FALSE,"Income";#N/A,#N/A,FALSE,"sale";#N/A,#N/A,FALSE,"cash";#N/A,#N/A,FALSE,"AR";#N/A,#N/A,FALSE,"AR-other";#N/A,#N/A,FALSE,"asset";#N/A,#N/A,FALSE,"Pre-Op";#N/A,#N/A,FALSE,"AP";#N/A,#N/A,FALSE,"Parent";#N/A,#N/A,FALSE,"Qty";#N/A,#N/A,FALSE,"COGS";#N/A,#N/A,FALSE,"GOH-Sell";#N/A,#N/A,FALSE,"Interest"}</definedName>
    <definedName name="dsf" hidden="1">{"'Sheet1'!$L$16"}</definedName>
    <definedName name="dsfsa">#REF!</definedName>
    <definedName name="dskhu">#REF!</definedName>
    <definedName name="dsm">#REF!</definedName>
    <definedName name="DSTinh">#REF!</definedName>
    <definedName name="DSUMDATA">#REF!</definedName>
    <definedName name="DT_VKHNN">#REF!</definedName>
    <definedName name="dtb">#REF!</definedName>
    <definedName name="DTBH">#REF!</definedName>
    <definedName name="DTCTANG_BD">#REF!</definedName>
    <definedName name="DTCTANG_HT_BD">#REF!</definedName>
    <definedName name="DTCTANG_HT_KT">#REF!</definedName>
    <definedName name="DTCTANG_KT">#REF!</definedName>
    <definedName name="dtctnd" hidden="1">{"'Sheet1'!$L$16"}</definedName>
    <definedName name="dtdt">#REF!</definedName>
    <definedName name="DTKT3" hidden="1">{"'Sheet1'!$L$16"}</definedName>
    <definedName name="dToday">19930811</definedName>
    <definedName name="dtvp" hidden="1">{"'Sheet1'!$L$16"}</definedName>
    <definedName name="dth">#REF!</definedName>
    <definedName name="dthft" hidden="1">{"'Sheet1'!$L$16"}</definedName>
    <definedName name="DUCT" hidden="1">{#N/A,#N/A,FALSE,"Sheet1"}</definedName>
    <definedName name="dul">#REF!</definedName>
    <definedName name="DummyEstYears">3</definedName>
    <definedName name="Duong_373">#REF!</definedName>
    <definedName name="Duong_tam">#REF!</definedName>
    <definedName name="Duongnaco" hidden="1">{"'Sheet1'!$L$16"}</definedName>
    <definedName name="DUT">#REF!</definedName>
    <definedName name="DutoanDongmo">#REF!</definedName>
    <definedName name="dvql">#REF!</definedName>
    <definedName name="dvt">1000</definedName>
    <definedName name="DWPRICE" hidden="1">#REF!</definedName>
    <definedName name="DWQFDH" hidden="1">{#N/A,#N/A,FALSE,"Income State.";#N/A,#N/A,FALSE,"B-S"}</definedName>
    <definedName name="DZHADH" hidden="1">{"'Sheet1'!$L$16"}</definedName>
    <definedName name="đá" hidden="1">{"'Sheet1'!$L$16"}</definedName>
    <definedName name="đaa">#REF!</definedName>
    <definedName name="đâs" hidden="1">#REF!</definedName>
    <definedName name="đfsda" hidden="1">#REF!</definedName>
    <definedName name="EDR">#REF!</definedName>
    <definedName name="eee" hidden="1">{#N/A,#N/A,FALSE,"Income State.";#N/A,#N/A,FALSE,"B-S"}</definedName>
    <definedName name="eeee" hidden="1">{"'Sheet1'!$L$16"}</definedName>
    <definedName name="eeeeeeeee" hidden="1">{"'Sheet1'!$L$16"}</definedName>
    <definedName name="eeeeeeeeee" hidden="1">{"'Sheet1'!$L$16"}</definedName>
    <definedName name="EEPE" hidden="1">{"'Summary'!$A$1:$J$46"}</definedName>
    <definedName name="EEQ" hidden="1">{"'Summary'!$A$1:$J$46"}</definedName>
    <definedName name="eewrq" hidden="1">{"'DocTypeCode'!$A$142:$A$226"}</definedName>
    <definedName name="ef" hidden="1">{#N/A,#N/A,FALSE,"Chi tiÆt"}</definedName>
    <definedName name="EFASDASDASDFSD" hidden="1">{"'Sheet1'!$L$16"}</definedName>
    <definedName name="egsf" hidden="1">{"'Sheet1'!$L$16"}</definedName>
    <definedName name="eïhd" hidden="1">{"'Sheet1'!$L$16"}</definedName>
    <definedName name="Elas" hidden="1">{#N/A,#N/A,FALSE,"Income State.";#N/A,#N/A,FALSE,"B-S"}</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ing_Balance">-FV(Interest_Rate/12,Payment_Number,-Monthly_Payment,Loan_Amount)</definedName>
    <definedName name="EPMWorkbookOptions_1">"HjgAAB+LCAAAAAAABADtm+tyokgUx79P1byD5XduAl5SxClETagouIJmZ1NTViNtpAbBaTAmb7EPtQ+2Ld5AMWNcNyVIVapiuk8fTv84598NpoVvrxM79wKRZ7nObZ4h6XwOOkPXtJzn2/zMHxFMMf+t+vWL8Oiin4br/lSnPjb1cnic4928euZtfuz70xuKms/n5JwlXfRMFWiaof5st7ThGE5AfmNs/d6YsBzPB84Q5vFVczlBch0HDhfX"</definedName>
    <definedName name="EPMWorkbookOptions_2" hidden="1">"1F1phhB0/L4F50FnpLsOfLBqxe0KmMDlZTeX9OFkOkNWcM2eB1EHwRHE/oaQxNPIVwfNTntQ60jKI0MPnlaDGJpkGIbkeZKhyzdlmqYpD0wpYzqkfgyeOl21PpA0/AnH4bm2ZYJFKPjvEbA9uPktUIt4ttGJ06ltDUGI5NFRrn1EvYSaV5OvRiLaCWCJbkszRx3surdMEzp1awIdLwj3sOk2VC9ig620sTvf+JBc20VVH82gQMV0vDc0mEXM"</definedName>
    <definedName name="EPMWorkbookOptions_3" hidden="1">"yL3ZrQZiCD589ZvgxUWWj+MK7sdy8F7fEeObFvL8UADx/TuONlEeBnSsVdiu51i/ZjCYuShJak/RBSqu8z0fS+K4yHmaYctMyEHcvQjGqsiEqEoL1PJDrHdvaoO3DnKnEPlvVYYv8iNojAi+aHIEVxhViDIPIUEDWOBMo8SVDHZx5eioGMct4PkatHG9Q7MNJwaWrRizaFLGGmCT5fgQpqcVxB/kU0fsNhT9nsEfpaZcx+W7Z33A670FEUDD"</definedName>
    <definedName name="EPMWorkbookOptions_4" hidden="1">"8dvWNIdl78ax7Nv8Im3yO/Xz/o09bqxA/W6+ZwRSkx7+eMiQRJH883cGJASEY+ik8xCoY8QmpJf/n7b36rKud0W5dbq80zSHty7HqzuTQnXfYIzm6rJd1cVW0lP23GT0gax0enqGJYolgFLIqESp9EUt6UguR/IlUW/cqd3vJws+y/I8x3HHC34hfYK/hrgj95Leu16pj2dy1atfPJKa/JektpPO5HIUDXOV9dP1rFhi6HK5dLyesenTsyXC"</definedName>
    <definedName name="EPMWorkbookOptions_5" hidden="1">"HTV7KPFJT9Lz8mAyHmEeYkYjREOhmYxHiIecfB6Xs8Q1W+rjf3lDUyyy7Ade0XDpW+EWBKMZ2hxItaRn6HloFAIaV71T308PXcv0Kz7ME/RLVvRGV1I/8TtEPn0StoIYrVt5oKhKI+mZelYkfVnJeERSRBSTvxk7N5IazWZIwl89DO5aai35O4DLWfS6HV3qdTFg6fSXUx9f+IrpW/hCIHGi4p+WlPQsPRuKvpL4/5e5nIrVJLXT+MRaLaWv"</definedName>
    <definedName name="EPMWorkbookOptions_6" hidden="1">"VgOE0ZXl7qq3qLFAUrBFvZyq1eX2ZxZt+QNFC2DFqFS4CmEaBktwPFMmjFEJEKBoskaF5QuFkXkBRbsgGE3RAs2USLqS9CQ9KxCevN5HhkMZUsyAhIBwZCpeol6OtLcbotbrNrRPlPdK+vZka4rLJ4bvevbE8CGjSDTxRgIVd14q0ro2x972j5WFG/ePogldOELQG6uOOoXO+phRtDGwk2wI0MKp6mjgBa4td5sD2/WZO5yWfoBxbb3fEbWf"</definedName>
    <definedName name="EPMWorkbookOptions_7" hidden="1">"m6u7JsheHyALGDZsQ/S89bDX/vXL1u3qjF/1X1qXee8eOAAA"</definedName>
    <definedName name="eq" hidden="1">{"'Sheet1'!$L$16"}</definedName>
    <definedName name="EQI">#REF!</definedName>
    <definedName name="erre" hidden="1">{"weichwaren",#N/A,FALSE,"Liste 1";"hartwaren",#N/A,FALSE,"Liste 1";"food",#N/A,FALSE,"Liste 1";"fleisch",#N/A,FALSE,"Liste 1"}</definedName>
    <definedName name="EssLatest">"Quarter 1"</definedName>
    <definedName name="eu">21930000000</definedName>
    <definedName name="Eur">13240</definedName>
    <definedName name="Euro_ER">17450</definedName>
    <definedName name="Euro_ER_Cat_Q">17450</definedName>
    <definedName name="eûtheí" hidden="1">{"'Sheet1'!$L$16"}</definedName>
    <definedName name="EV">"V"</definedName>
    <definedName name="ev.Calculation" hidden="1">-4105</definedName>
    <definedName name="ev.Initialized" hidden="1">FALSE</definedName>
    <definedName name="EVNB">#REF!</definedName>
    <definedName name="evt" hidden="1">{"'Sheet1'!$L$16"}</definedName>
    <definedName name="EW" hidden="1">{"'Summary'!$A$1:$J$46"}</definedName>
    <definedName name="EWE" hidden="1">{"'Sheet1'!$L$16"}</definedName>
    <definedName name="EWEW" hidden="1">{"'Sheet1'!$L$16"}</definedName>
    <definedName name="EWRWE" hidden="1">{"'장비'!$A$3:$M$12"}</definedName>
    <definedName name="ewrweq" hidden="1">{"'장비'!$A$3:$M$12"}</definedName>
    <definedName name="Ex_K">24660000</definedName>
    <definedName name="Ex_L">#REF!</definedName>
    <definedName name="EX_Length_373">#REF!</definedName>
    <definedName name="ExactAddinConnection" hidden="1">"034"</definedName>
    <definedName name="ExactAddinConnection.034" hidden="1">"NOIVU;034;gl4;1"</definedName>
    <definedName name="ExactAddinConnection.100" hidden="1">"NGOM19645-2;175;Administrator;1"</definedName>
    <definedName name="ExactAddinConnection.175" hidden="1">"NGOM19645-2;175;Administrator;1"</definedName>
    <definedName name="ExactAddinConnection.200" hidden="1">"MAYCHU2;200;yen;0"</definedName>
    <definedName name="ExactAddinConnection.222" hidden="1">"MINH183590-1;710;Minh183590;1"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889" hidden="1">"NGOM19645-1;889;VAIO;1"</definedName>
    <definedName name="ExactAddinReports" hidden="1">1</definedName>
    <definedName name="Exchange_rate">19490</definedName>
    <definedName name="ext">21930000</definedName>
    <definedName name="_xlnm.Extract">#REF!</definedName>
    <definedName name="f">#REF!</definedName>
    <definedName name="F5TF" hidden="1">#REF!</definedName>
    <definedName name="F6A" hidden="1">{"'Sheet1'!$L$16"}</definedName>
    <definedName name="F6B" hidden="1">{"'Sheet1'!$L$16"}</definedName>
    <definedName name="fáaafafaf" hidden="1">{"'Sheet1'!$L$16"}</definedName>
    <definedName name="FACTOR">#REF!</definedName>
    <definedName name="fasfaga" hidden="1">{"'Sheet1'!$L$16"}</definedName>
    <definedName name="fbsdggdsf">{"DZ-TDTB2.XLS","Dcksat.xls"}</definedName>
    <definedName name="Fcast">#REF!</definedName>
    <definedName name="FCode" hidden="1">#REF!</definedName>
    <definedName name="fdgf" hidden="1">{"'Sheet1'!$L$16"}</definedName>
    <definedName name="FDR">#REF!</definedName>
    <definedName name="fdsfđs" hidden="1">#REF!</definedName>
    <definedName name="fdsfsdfd" hidden="1">{"'Sheet1'!$L$16"}</definedName>
    <definedName name="feineer" hidden="1">{"fleisch",#N/A,FALSE,"WG HK";"food",#N/A,FALSE,"WG HK";"hartwaren",#N/A,FALSE,"WG HK";"weichwaren",#N/A,FALSE,"WG HK"}</definedName>
    <definedName name="fff" hidden="1">{"'Sheet1'!$L$16"}</definedName>
    <definedName name="ffff"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fffffffffffff" hidden="1">{"'Sheet1'!$L$16"}</definedName>
    <definedName name="ffffffffffffff" hidden="1">{"'Sheet1'!$L$16"}</definedName>
    <definedName name="fffffffffffffff" hidden="1">{"'Sheet1'!$L$16"}</definedName>
    <definedName name="fgdf" hidden="1">{"'Sheet1'!$L$16"}</definedName>
    <definedName name="fgn" hidden="1">{"'Sheet1'!$L$16"}</definedName>
    <definedName name="fgzdf" hidden="1">{"'Sheet1'!$L$16"}</definedName>
    <definedName name="Fi">#REF!</definedName>
    <definedName name="FILLL" hidden="1">#REF!</definedName>
    <definedName name="FJY" hidden="1">{"'Sheet1'!$L$16"}</definedName>
    <definedName name="FlexZZ">#REF!</definedName>
    <definedName name="FROM_DATE">#REF!</definedName>
    <definedName name="frtyiri" hidden="1">{"'Sheet1'!$L$16"}</definedName>
    <definedName name="fs">#REF!</definedName>
    <definedName name="fsdfdsf" hidden="1">{"'Sheet1'!$L$16"}</definedName>
    <definedName name="fsgfgsfgus" hidden="1">{"tenancy detail",#N/A,FALSE,"Tenancies";"years1_2",#N/A,FALSE,"Tenancies";"years3_4",#N/A,FALSE,"Tenancies"}</definedName>
    <definedName name="ftyiryiu" hidden="1">{"'Sheet1'!$L$16"}</definedName>
    <definedName name="FULL" hidden="1">#REF!</definedName>
    <definedName name="fx">#REF!</definedName>
    <definedName name="FY">1999</definedName>
    <definedName name="G_ME">#REF!</definedName>
    <definedName name="ga" hidden="1">{"'Sheet1'!$L$16"}</definedName>
    <definedName name="gach">#REF!</definedName>
    <definedName name="GAHT">#REF!</definedName>
    <definedName name="GC_CT">#REF!</definedName>
    <definedName name="GC_DN">#REF!</definedName>
    <definedName name="GC_HT">#REF!</definedName>
    <definedName name="GC_TD">#REF!</definedName>
    <definedName name="gch">#REF!</definedName>
    <definedName name="gd">#REF!</definedName>
    <definedName name="GD_1">#REF!</definedName>
    <definedName name="GD_2">#REF!</definedName>
    <definedName name="gdau">#REF!</definedName>
    <definedName name="gdfgdfgdf" hidden="1">{"'Sheet1'!$L$16"}</definedName>
    <definedName name="gdret" hidden="1">{"'Sheet1'!$L$16"}</definedName>
    <definedName name="ge" hidden="1">{"'Sheet1'!$L$16"}</definedName>
    <definedName name="gehe" hidden="1">{"Tages_D",#N/A,FALSE,"Tagesbericht";"Tages_PL",#N/A,FALSE,"Tagesbericht"}</definedName>
    <definedName name="gf" hidden="1">{"'Sheet1'!$L$16"}</definedName>
    <definedName name="gfjgjfnfh" hidden="1">{"F3 Presentation",#N/A,FALSE,"F3 ";"F3 detail",#N/A,FALSE,"F3 "}</definedName>
    <definedName name="gg" hidden="1">{"'Sheet1'!$L$16"}</definedName>
    <definedName name="ggg" hidden="1">{"'Sheet1'!$L$16"}</definedName>
    <definedName name="gggg" hidden="1">{"'Sheet1'!$L$16"}</definedName>
    <definedName name="gghfh" hidden="1">{"'Sheet1'!$L$16"}</definedName>
    <definedName name="gh" hidden="1">{"weichwaren",#N/A,FALSE,"Liste 1";"hartwaren",#N/A,FALSE,"Liste 1";"food",#N/A,FALSE,"Liste 1";"fleisch",#N/A,FALSE,"Liste 1"}</definedName>
    <definedName name="ghghgh" hidden="1">{"'Sheet1'!$L$16"}</definedName>
    <definedName name="GHHHS" hidden="1">{"'Sheet1'!$L$16"}</definedName>
    <definedName name="ghip">#REF!</definedName>
    <definedName name="ghû" hidden="1">{"'Sheet1'!$L$16"}</definedName>
    <definedName name="gÎ" hidden="1">#REF!</definedName>
    <definedName name="gl3p">#REF!</definedName>
    <definedName name="gld">#REF!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RFICM">#REF!</definedName>
    <definedName name="Gtb">#REF!</definedName>
    <definedName name="gtbtt">#REF!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M" hidden="1">{"'Sheet1'!$L$16"}</definedName>
    <definedName name="GTXL">#REF!</definedName>
    <definedName name="Gthe">#REF!</definedName>
    <definedName name="gvk">#REF!</definedName>
    <definedName name="Gxl">#REF!</definedName>
    <definedName name="gxltt">#REF!</definedName>
    <definedName name="gxm">#REF!</definedName>
    <definedName name="gia">#REF!</definedName>
    <definedName name="gia_tien">#REF!</definedName>
    <definedName name="gia_tien_BTN">#REF!</definedName>
    <definedName name="Giai_doan">#REF!</definedName>
    <definedName name="giaphong" hidden="1">#REF!</definedName>
    <definedName name="Giocong">#REF!</definedName>
    <definedName name="h" hidden="1">{"'Sheet1'!$L$16"}</definedName>
    <definedName name="h_xoa" hidden="1">{"'Sheet1'!$L$16"}</definedName>
    <definedName name="h_xoa2" hidden="1">{"'Sheet1'!$L$16"}</definedName>
    <definedName name="Ha">#REF!</definedName>
    <definedName name="haiacc" hidden="1">{"'Sheet1'!$L$16"}</definedName>
    <definedName name="han" hidden="1">#REF!</definedName>
    <definedName name="Hang_muc_CP">#REF!</definedName>
    <definedName name="hangmuc">#REF!</definedName>
    <definedName name="hanh" hidden="1">{"'Sheet1'!$L$16"}</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C">#REF!</definedName>
    <definedName name="HBL">#REF!</definedName>
    <definedName name="HCM">#REF!</definedName>
    <definedName name="HCNA" hidden="1">{"'Sheet1'!$L$16"}</definedName>
    <definedName name="HCPH">#REF!</definedName>
    <definedName name="HCS">#REF!</definedName>
    <definedName name="HCU">#REF!</definedName>
    <definedName name="hd" hidden="1">{#N/A,#N/A,FALSE,"M1";#N/A,#N/A,FALSE,"K7";#N/A,#N/A,FALSE,"K6";#N/A,#N/A,FALSE,"K5";#N/A,#N/A,FALSE,"K4";#N/A,#N/A,FALSE,"K3";#N/A,#N/A,FALSE,"K2";#N/A,#N/A,FALSE,"K1"}</definedName>
    <definedName name="HDC">#REF!</definedName>
    <definedName name="HDU">#REF!</definedName>
    <definedName name="He_so">#REF!</definedName>
    <definedName name="Heä_soá_laép_xaø_H">1.7</definedName>
    <definedName name="heä_soá_sình_laày">#REF!</definedName>
    <definedName name="Header_Row">ROW(#REF!)</definedName>
    <definedName name="Header_Row_Back">ROW(#REF!)</definedName>
    <definedName name="Heso">1</definedName>
    <definedName name="hfjjgjgjg" hidden="1">{"'Sheet1'!$L$16"}</definedName>
    <definedName name="hg" hidden="1">{"'Sheet1'!$L$16"}</definedName>
    <definedName name="hgj" hidden="1">{"'Sheet1'!$L$16"}</definedName>
    <definedName name="hgjghj" hidden="1">{"'Sheet1'!$L$16"}</definedName>
    <definedName name="HHcat">#REF!</definedName>
    <definedName name="HHD" hidden="1">{"'Sheet1'!$L$16"}</definedName>
    <definedName name="HHda">#REF!</definedName>
    <definedName name="hhhh" hidden="1">{"'Sheet1'!$L$16"}</definedName>
    <definedName name="hhhhh" hidden="1">{"weichwaren",#N/A,FALSE,"Liste 1";"hartwaren",#N/A,FALSE,"Liste 1";"food",#N/A,FALSE,"Liste 1";"fleisch",#N/A,FALSE,"Liste 1"}</definedName>
    <definedName name="hhhhhh" hidden="1">#REF!</definedName>
    <definedName name="HHIC">#REF!</definedName>
    <definedName name="HHT">#REF!</definedName>
    <definedName name="HHxm">#REF!</definedName>
    <definedName name="hi" hidden="1">{"'Sheet1'!$L$16"}</definedName>
    <definedName name="HiddenRows" hidden="1">#REF!</definedName>
    <definedName name="hien">#REF!</definedName>
    <definedName name="HIGH" hidden="1">#REF!</definedName>
    <definedName name="Hit_K1___Truck_arrangement">11</definedName>
    <definedName name="hj" hidden="1">{"Tages_D",#N/A,FALSE,"Tagesbericht";"Tages_PL",#N/A,FALSE,"Tagesbericht"}</definedName>
    <definedName name="hjjkl" hidden="1">{"'Sheet1'!$L$16"}</definedName>
    <definedName name="hjk" hidden="1">{"'Sheet1'!$L$16"}</definedName>
    <definedName name="HKE">#REF!</definedName>
    <definedName name="HKL">#REF!</definedName>
    <definedName name="HKLHI">#REF!</definedName>
    <definedName name="HKLL">#REF!</definedName>
    <definedName name="HKLLLO">#REF!</definedName>
    <definedName name="HLC">#REF!</definedName>
    <definedName name="HLIC">#REF!</definedName>
    <definedName name="HLU">#REF!</definedName>
    <definedName name="HM">#REF!</definedName>
    <definedName name="hn.ExtDb" hidden="1">FALSE</definedName>
    <definedName name="hn.ModelType" hidden="1">"DEAL"</definedName>
    <definedName name="hn.ModelVersion" hidden="1">1</definedName>
    <definedName name="hn.NoUpload" hidden="1">0</definedName>
    <definedName name="Hname">#REF!</definedName>
    <definedName name="hoangthiviet" hidden="1">{"'Sheet1'!$L$16"}</definedName>
    <definedName name="hoc">55000</definedName>
    <definedName name="hoh" hidden="1">{#N/A,#N/A,FALSE,"Chi tiÆt"}</definedName>
    <definedName name="HOME_MANP">#REF!</definedName>
    <definedName name="HOMEOFFICE_COST">#REF!</definedName>
    <definedName name="Hoten">#REF!</definedName>
    <definedName name="House">#REF!</definedName>
    <definedName name="HR">#REF!</definedName>
    <definedName name="HRC">#REF!</definedName>
    <definedName name="hs">#REF!</definedName>
    <definedName name="HSCT3">0.1</definedName>
    <definedName name="hsd">#REF!</definedName>
    <definedName name="hsdc">#REF!</definedName>
    <definedName name="hsdc1">#REF!</definedName>
    <definedName name="HSDN">2.5</definedName>
    <definedName name="HSHH">#REF!</definedName>
    <definedName name="HSHHUT">#REF!</definedName>
    <definedName name="hsk">#REF!</definedName>
    <definedName name="HSLXH">1.7</definedName>
    <definedName name="hsm">#REF!</definedName>
    <definedName name="HSMTC">#REF!</definedName>
    <definedName name="HSNC">#REF!</definedName>
    <definedName name="hsnc_cau">1.626</definedName>
    <definedName name="hsnc_cau2">1.626</definedName>
    <definedName name="hsnc_d">1.6356</definedName>
    <definedName name="hsnc_d2">1.6356</definedName>
    <definedName name="HSSL">#REF!</definedName>
    <definedName name="hßm4">#REF!</definedName>
    <definedName name="hstb">#REF!</definedName>
    <definedName name="hstdtk">#REF!</definedName>
    <definedName name="hsthep">#REF!</definedName>
    <definedName name="HSVC1">#REF!</definedName>
    <definedName name="HSVC2">#REF!</definedName>
    <definedName name="HSVC3">#REF!</definedName>
    <definedName name="hsvl">#REF!</definedName>
    <definedName name="hsvl2">1</definedName>
    <definedName name="HT">#REF!</definedName>
    <definedName name="htlm" hidden="1">{"'Sheet1'!$L$16"}</definedName>
    <definedName name="HTML" hidden="1">{"'Sheet1'!$L$16"}</definedName>
    <definedName name="HTML_CodePage" hidden="1">950</definedName>
    <definedName name="HTML_Control" hidden="1">{"'Sheet1'!$L$16"}</definedName>
    <definedName name="html_control_xoa2" hidden="1">{"'Sheet1'!$L$16"}</definedName>
    <definedName name="html_control1"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PathTemplate" hidden="1">"C:\BOTHomepage\DataBank\FinMarkets\InterestRate\Int_F_his2003_T.htm"</definedName>
    <definedName name="HTML_Title" hidden="1">"00Q3961-SUM"</definedName>
    <definedName name="HTML1_10" hidden="1">""</definedName>
    <definedName name="HTML1_11" hidden="1">1</definedName>
    <definedName name="HTML1_12" hidden="1">"Zip 100:New_Home_Page:datafile:implpr.html"</definedName>
    <definedName name="HTML1_2" hidden="1">1</definedName>
    <definedName name="HTML1_3" hidden="1">"RiskPremiumUS"</definedName>
    <definedName name="HTML1_4" hidden="1">"Implied Risk Premiums for US"</definedName>
    <definedName name="HTML1_5" hidden="1">""</definedName>
    <definedName name="HTML1_6" hidden="1">-4146</definedName>
    <definedName name="HTML1_7" hidden="1">-4146</definedName>
    <definedName name="HTML1_8" hidden="1">"3/19/97"</definedName>
    <definedName name="HTML1_9" hidden="1">"Aswath Damodaran"</definedName>
    <definedName name="HTMLCount" hidden="1">1</definedName>
    <definedName name="HTNC">#REF!</definedName>
    <definedName name="HTS">#REF!</definedName>
    <definedName name="HTU">#REF!</definedName>
    <definedName name="HTVL">#REF!</definedName>
    <definedName name="hu" hidden="1">{"'Sheet1'!$L$16"}</definedName>
    <definedName name="hui" hidden="1">{"'Sheet1'!$L$16"}</definedName>
    <definedName name="HUNG" hidden="1">{#N/A,#N/A,FALSE,"Chi tiÆt"}</definedName>
    <definedName name="huong" hidden="1">{"'Sheet1'!$L$16"}</definedName>
    <definedName name="huy" hidden="1">{"'Sheet1'!$L$16"}</definedName>
    <definedName name="huy_xoa" hidden="1">{"'Sheet1'!$L$16"}</definedName>
    <definedName name="huy_xoa2" hidden="1">{"'Sheet1'!$L$16"}</definedName>
    <definedName name="huyen" hidden="1">{"'Sheet1'!$L$16"}</definedName>
    <definedName name="HV">#REF!</definedName>
    <definedName name="HVBC">#REF!</definedName>
    <definedName name="HVC">#REF!</definedName>
    <definedName name="HVL">#REF!</definedName>
    <definedName name="HVP">#REF!</definedName>
    <definedName name="hy" hidden="1">{"'Sheet1'!$L$16"}</definedName>
    <definedName name="I">#REF!</definedName>
    <definedName name="Ì" hidden="1">{"'Sheet1'!$L$16"}</definedName>
    <definedName name="IDLAB_COST">#REF!</definedName>
    <definedName name="ierj" hidden="1">{"weichwaren",#N/A,FALSE,"Liste 1";"hartwaren",#N/A,FALSE,"Liste 1";"food",#N/A,FALSE,"Liste 1";"fleisch",#N/A,FALSE,"Liste 1"}</definedName>
    <definedName name="II" hidden="1">{"tenancy detail",#N/A,FALSE,"Tenancies";"years1_2",#N/A,FALSE,"Tenancies";"years3_4",#N/A,FALSE,"Tenancies"}</definedName>
    <definedName name="iiiii" hidden="1">{"Tages_D",#N/A,FALSE,"Tagesbericht";"Tages_PL",#N/A,FALSE,"Tagesbericht"}</definedName>
    <definedName name="in" hidden="1">{"'Sheet1'!$L$16"}</definedName>
    <definedName name="IND_LAB">#REF!</definedName>
    <definedName name="index">#REF!</definedName>
    <definedName name="INDMANP">#REF!</definedName>
    <definedName name="inputCosti">#REF!</definedName>
    <definedName name="inputLf">#REF!</definedName>
    <definedName name="inputWTP">#REF!</definedName>
    <definedName name="INT">#REF!</definedName>
    <definedName name="Interest">-IPMT(Interest_Rate/12,Payment_Number,Number_of_Payments,Loan_Amount)</definedName>
    <definedName name="Interest." hidden="1">{"tenancy detail",#N/A,FALSE,"Tenancies";"years1_2",#N/A,FALSE,"Tenancies";"years3_4",#N/A,FALSE,"Tenancies"}</definedName>
    <definedName name="Interest_Rate">#REF!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RATE" hidden="1">"c2192"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ONTRIBUTION_TOTAL_COST" hidden="1">"c300"</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V_OVER_BV" hidden="1">"c1596"</definedName>
    <definedName name="IQ_EQV_OVER_LTM_PRETAX_INC" hidden="1">"c1390"</definedName>
    <definedName name="IQ_EQUITY_AFFIL" hidden="1">"c1451"</definedName>
    <definedName name="IQ_EQUITY_METHOD" hidden="1">"c404"</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ST_EPS_SURPRISE" hidden="1">"c1635"</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"09/19/2014 17:16:01"</definedName>
    <definedName name="IQ_NAV_ACT_OR_EST" hidden="1">"c2225"</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38903.437199074</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CHURN" hidden="1">"c2122"</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Z_SCORE" hidden="1">"c1339"</definedName>
    <definedName name="iQShowHideColumns" hidden="1">"iQShowAll"</definedName>
    <definedName name="IsColHidden" hidden="1">FALSE</definedName>
    <definedName name="IsLTMColHidden" hidden="1">FALSE</definedName>
    <definedName name="IT">#REF!</definedName>
    <definedName name="ITNPEAvgCost">175000</definedName>
    <definedName name="ITPEAvgCost">160000</definedName>
    <definedName name="ITPENPEAvgCost">50000</definedName>
    <definedName name="IWTP">#REF!</definedName>
    <definedName name="j">#REF!</definedName>
    <definedName name="j356C8">#REF!</definedName>
    <definedName name="jæít" hidden="1">{"'Sheet1'!$L$16"}</definedName>
    <definedName name="jeine" hidden="1">{"Tages_D",#N/A,FALSE,"Tagesbericht";"Tages_PL",#N/A,FALSE,"Tagesbericht"}</definedName>
    <definedName name="jhh" hidden="1">{"TAG1AGMS",#N/A,FALSE,"TAG 1A"}</definedName>
    <definedName name="jj" hidden="1">{#N/A,#N/A,FALSE,"Sensitivity"}</definedName>
    <definedName name="jjj" hidden="1">{"'Sheet1'!$L$16"}</definedName>
    <definedName name="jjjjj" hidden="1">{"fleisch",#N/A,FALSE,"WG HK";"food",#N/A,FALSE,"WG HK";"hartwaren",#N/A,FALSE,"WG HK";"weichwaren",#N/A,FALSE,"WG HK"}</definedName>
    <definedName name="jjjklll" hidden="1">{"fleisch",#N/A,FALSE,"WG HK";"food",#N/A,FALSE,"WG HK";"hartwaren",#N/A,FALSE,"WG HK";"weichwaren",#N/A,FALSE,"WG HK"}</definedName>
    <definedName name="jkl" hidden="1">{"Tages_D",#N/A,FALSE,"Tagesbericht";"Tages_PL",#N/A,FALSE,"Tagesbericht"}</definedName>
    <definedName name="jpy">110</definedName>
    <definedName name="JPYVND1">#REF!</definedName>
    <definedName name="ju" hidden="1">{"'Sheet1'!$L$16"}</definedName>
    <definedName name="July_HR">#REF!</definedName>
    <definedName name="k" hidden="1">{"Offgrid",#N/A,FALSE,"OFFGRID";"Region",#N/A,FALSE,"REGION";"Offgrid -2",#N/A,FALSE,"OFFGRID";"WTP",#N/A,FALSE,"WTP";"WTP -2",#N/A,FALSE,"WTP";"Project",#N/A,FALSE,"PROJECT";"Summary -2",#N/A,FALSE,"SUMMARY"}</definedName>
    <definedName name="K_L">#REF!</definedName>
    <definedName name="kcong">#REF!</definedName>
    <definedName name="KE_HOACH_VON_PHU_THU">#REF!</definedName>
    <definedName name="ketqua">#REF!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em_tra_trung_ten">#REF!</definedName>
    <definedName name="kip">#REF!</definedName>
    <definedName name="kkk" hidden="1">{"tenancy detail",#N/A,FALSE,"Tenancies";"years1_2",#N/A,FALSE,"Tenancies";"years3_4",#N/A,FALSE,"Tenancies"}</definedName>
    <definedName name="kklleinene" hidden="1">{"Tages_D",#N/A,FALSE,"Tagesbericht";"Tages_PL",#N/A,FALSE,"Tagesbericht"}</definedName>
    <definedName name="kl">#REF!</definedName>
    <definedName name="kl_ME">#REF!</definedName>
    <definedName name="KLC">#REF!</definedName>
    <definedName name="kldd1p">#REF!</definedName>
    <definedName name="klein1" hidden="1">{"weichwaren",#N/A,FALSE,"Liste 1";"hartwaren",#N/A,FALSE,"Liste 1";"food",#N/A,FALSE,"Liste 1";"fleisch",#N/A,FALSE,"Liste 1"}</definedName>
    <definedName name="kleine" hidden="1">{"TAG1AGMS",#N/A,FALSE,"TAG 1A"}</definedName>
    <definedName name="klgÈ" hidden="1">{"'Sheet1'!$L$16"}</definedName>
    <definedName name="klvs" hidden="1">{"'Sheet1'!$L$16"}</definedName>
    <definedName name="kp1ph">#REF!</definedName>
    <definedName name="kq">#REF!</definedName>
    <definedName name="KS">#REF!</definedName>
    <definedName name="KS_1">#REF!</definedName>
    <definedName name="KS_2">#REF!</definedName>
    <definedName name="ksbn" hidden="1">{"'Sheet1'!$L$16"}</definedName>
    <definedName name="KSDA" hidden="1">{"'Sheet1'!$L$16"}</definedName>
    <definedName name="kshn" hidden="1">{"'Sheet1'!$L$16"}</definedName>
    <definedName name="ksls" hidden="1">{"'Sheet1'!$L$16"}</definedName>
    <definedName name="KSTK">#REF!</definedName>
    <definedName name="Kte">#REF!</definedName>
    <definedName name="KU" hidden="1">{"'Sheet1'!$L$16"}</definedName>
    <definedName name="kung" hidden="1">{"Tages_D",#N/A,FALSE,"Tagesbericht";"Tages_PL",#N/A,FALSE,"Tagesbericht"}</definedName>
    <definedName name="KVC">#REF!</definedName>
    <definedName name="Ký_nép">#REF!</definedName>
    <definedName name="Kh">#REF!</definedName>
    <definedName name="khac">2</definedName>
    <definedName name="khanang">#REF!</definedName>
    <definedName name="KHNG" hidden="1">{"'Sheet1'!$L$16"}</definedName>
    <definedName name="khoiluong">#REF!</definedName>
    <definedName name="khong">#REF!</definedName>
    <definedName name="khongtruotgia" hidden="1">{"'Sheet1'!$L$16"}</definedName>
    <definedName name="khu">#REF!</definedName>
    <definedName name="khung" hidden="1">{"Tages_D",#N/A,FALSE,"Tagesbericht";"Tages_PL",#N/A,FALSE,"Tagesbericht"}</definedName>
    <definedName name="khuy" hidden="1">{"'Sheet1'!$L$16"}</definedName>
    <definedName name="KhuyenmaiUPS">"AutoShape 264"</definedName>
    <definedName name="l">#REF!</definedName>
    <definedName name="l.dat" hidden="1">{"'Sheet1'!$L$16"}</definedName>
    <definedName name="L_1">#REF!</definedName>
    <definedName name="L_2">#REF!</definedName>
    <definedName name="Lai" hidden="1">{"'Sheet1'!$L$16"}</definedName>
    <definedName name="LAMTUBE">#REF!</definedName>
    <definedName name="lan">#REF!</definedName>
    <definedName name="Land">#REF!</definedName>
    <definedName name="langson" hidden="1">{"'Sheet1'!$L$16"}</definedName>
    <definedName name="LapDungDam">#REF!</definedName>
    <definedName name="Last_Row">IF(Values_Entered,Header_Row+Number_of_Payments,Header_Row)</definedName>
    <definedName name="LastSavedIsMultiplier">1</definedName>
    <definedName name="latxay" hidden="1">{"'Sheet1'!$L$16"}</definedName>
    <definedName name="LC">#REF!</definedName>
    <definedName name="lcs">#REF!</definedName>
    <definedName name="leien" hidden="1">{"fleisch",#N/A,FALSE,"WG HK";"food",#N/A,FALSE,"WG HK";"hartwaren",#N/A,FALSE,"WG HK";"weichwaren",#N/A,FALSE,"WG HK"}</definedName>
    <definedName name="LIEM" hidden="1">{"'Sheet1'!$L$16"}</definedName>
    <definedName name="limcount" hidden="1">13</definedName>
    <definedName name="list">#REF!</definedName>
    <definedName name="List_SA">#REF!</definedName>
    <definedName name="LK_Data">#REF!</definedName>
    <definedName name="llach">#REF!</definedName>
    <definedName name="Lmk">#REF!</definedName>
    <definedName name="ln">#REF!</definedName>
    <definedName name="lö" hidden="1">{"fleisch",#N/A,FALSE,"WG HK";"food",#N/A,FALSE,"WG HK";"hartwaren",#N/A,FALSE,"WG HK";"weichwaren",#N/A,FALSE,"WG HK"}</definedName>
    <definedName name="LOAN" hidden="1">{#N/A,#N/A,FALSE,"Income State.";#N/A,#N/A,FALSE,"B-S"}</definedName>
    <definedName name="Loan_Amount">#REF!</definedName>
    <definedName name="Loan_KhoanVay" hidden="1">#REF!</definedName>
    <definedName name="Loan_Not_Paid">IF(Payment_Number&lt;=Number_of_Payments,1,0)</definedName>
    <definedName name="Loan_Start">#REF!</definedName>
    <definedName name="Loan_Years">#REF!</definedName>
    <definedName name="LocCtu" hidden="1">OFFSET(#REF!,0,0,COUNTA(#REF!))</definedName>
    <definedName name="lölö" hidden="1">{"fleisch",#N/A,FALSE,"WG HK";"food",#N/A,FALSE,"WG HK";"hartwaren",#N/A,FALSE,"WG HK";"weichwaren",#N/A,FALSE,"WG HK"}</definedName>
    <definedName name="long" hidden="1">{"'Sheet1'!$L$16"}</definedName>
    <definedName name="LRMC">#REF!</definedName>
    <definedName name="lstOrganization">"List Box 4"</definedName>
    <definedName name="lstRegion">"List Box 5"</definedName>
    <definedName name="LTKDDC" hidden="1">{"'Sheet1'!$L$16"}</definedName>
    <definedName name="ltre">#REF!</definedName>
    <definedName name="luc" hidden="1">{"'Sheet1'!$L$16"}</definedName>
    <definedName name="lVC">#REF!</definedName>
    <definedName name="m">#REF!</definedName>
    <definedName name="M0.4">#REF!</definedName>
    <definedName name="M10." hidden="1">{"'Sheet1'!$L$16"}</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anc">#REF!</definedName>
    <definedName name="m8aavl">#REF!</definedName>
    <definedName name="Ma3pnc">#REF!</definedName>
    <definedName name="Ma3pvl">#REF!</definedName>
    <definedName name="Maa3pnc">#REF!</definedName>
    <definedName name="Maa3pvl">#REF!</definedName>
    <definedName name="MACTANG_BD">#REF!</definedName>
    <definedName name="MACTANG_HT_BD">#REF!</definedName>
    <definedName name="MACTANG_HT_KT">#REF!</definedName>
    <definedName name="MACTANG_KT">#REF!</definedName>
    <definedName name="MAJ_CON_EQP">#REF!</definedName>
    <definedName name="may">#REF!</definedName>
    <definedName name="maynen6">#REF!</definedName>
    <definedName name="Mba1p">#REF!</definedName>
    <definedName name="Mba3p">#REF!</definedName>
    <definedName name="Mbb3p">#REF!</definedName>
    <definedName name="Mbn1p">#REF!</definedName>
    <definedName name="MC">#REF!</definedName>
    <definedName name="mco" hidden="1">{"'Sheet1'!$L$16"}</definedName>
    <definedName name="MDC">1</definedName>
    <definedName name="me">#REF!</definedName>
    <definedName name="MerrillPrintIt" hidden="1">#N/A</definedName>
    <definedName name="MG_A">#REF!</definedName>
    <definedName name="mil">#REF!</definedName>
    <definedName name="mm" hidden="1">{"'Sheet1'!$L$16"}</definedName>
    <definedName name="mmm" hidden="1">{"tenancy detail",#N/A,FALSE,"Tenancies";"years1_2",#N/A,FALSE,"Tenancies";"years3_4",#N/A,FALSE,"Tenancies"}</definedName>
    <definedName name="mmmm" hidden="1">{"'Sheet1'!$L$16"}</definedName>
    <definedName name="MN">#REF!</definedName>
    <definedName name="mo" hidden="1">{"'Sheet1'!$L$16"}</definedName>
    <definedName name="moi" hidden="1">{"'Sheet1'!$L$16"}</definedName>
    <definedName name="month">#REF!</definedName>
    <definedName name="Monthly_Payment">-PMT(Interest_Rate/12,Number_of_Payments,Loan_Amount)</definedName>
    <definedName name="MONG">#REF!</definedName>
    <definedName name="MTCLD">#REF!</definedName>
    <definedName name="MTCMB">#REF!</definedName>
    <definedName name="MTMAC12">#REF!</definedName>
    <definedName name="MTN">#REF!</definedName>
    <definedName name="MTHL_Control_2" hidden="1">{"'Sheet1'!$A$1:$H$145"}</definedName>
    <definedName name="mtram">#REF!</definedName>
    <definedName name="mucdich">#REF!</definedName>
    <definedName name="myle">#REF!</definedName>
    <definedName name="n">#REF!</definedName>
    <definedName name="n_vÞ__tÝnh">#REF!</definedName>
    <definedName name="n1pig">#REF!</definedName>
    <definedName name="n1pind">#REF!</definedName>
    <definedName name="n1pint">#REF!</definedName>
    <definedName name="n1ping">#REF!</definedName>
    <definedName name="nam" hidden="1">{"'Sheet1'!$L$16"}</definedName>
    <definedName name="nc">#REF!</definedName>
    <definedName name="nc_btm10">#REF!</definedName>
    <definedName name="nc_btm100">#REF!</definedName>
    <definedName name="nc1p">#REF!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100">#REF!</definedName>
    <definedName name="NCBD200">#REF!</definedName>
    <definedName name="NCBD250">#REF!</definedName>
    <definedName name="NCcap0.7">#REF!</definedName>
    <definedName name="NCcap1">#REF!</definedName>
    <definedName name="nccs">#REF!</definedName>
    <definedName name="ncgff">#REF!</definedName>
    <definedName name="NCKT">#REF!</definedName>
    <definedName name="NCLD">#REF!</definedName>
    <definedName name="ncnen6">#REF!</definedName>
    <definedName name="NCPP">#REF!</definedName>
    <definedName name="nctn">#REF!</definedName>
    <definedName name="nctram">#REF!</definedName>
    <definedName name="NCVC100">#REF!</definedName>
    <definedName name="NCVC200">#REF!</definedName>
    <definedName name="NCVC250">#REF!</definedName>
    <definedName name="NCVC3P">#REF!</definedName>
    <definedName name="Ne" hidden="1">{"'Sheet1'!$L$16"}</definedName>
    <definedName name="NET">#REF!</definedName>
    <definedName name="NET_1">#REF!</definedName>
    <definedName name="NET_ANA">#REF!</definedName>
    <definedName name="NET_ANA_1">#REF!</definedName>
    <definedName name="NET_ANA_2">#REF!</definedName>
    <definedName name="new" hidden="1">{"'Sheet1'!$L$16"}</definedName>
    <definedName name="New_L">#REF!</definedName>
    <definedName name="NEWNAME" hidden="1">{#N/A,#N/A,FALSE,"CCTV"}</definedName>
    <definedName name="NewPOS">#REF!</definedName>
    <definedName name="NewRange" hidden="1">#N/A</definedName>
    <definedName name="nig">#REF!</definedName>
    <definedName name="nig1p">#REF!</definedName>
    <definedName name="nig3p">#REF!</definedName>
    <definedName name="nignc1p">#REF!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nc3p">#REF!</definedName>
    <definedName name="nint1p">#REF!</definedName>
    <definedName name="nintnc1p">#REF!</definedName>
    <definedName name="nintvl1p">#REF!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nc3p">#REF!</definedName>
    <definedName name="nlnc3pha">#REF!</definedName>
    <definedName name="NLTK1p">#REF!</definedName>
    <definedName name="nlvl3p">#REF!</definedName>
    <definedName name="nn">#REF!</definedName>
    <definedName name="nn1p">#REF!</definedName>
    <definedName name="nn3p">#REF!</definedName>
    <definedName name="nnn" hidden="1">{"'Sheet1'!$L$16"}</definedName>
    <definedName name="nnnc3p">#REF!</definedName>
    <definedName name="nnvl3p">#REF!</definedName>
    <definedName name="No">#REF!</definedName>
    <definedName name="noidungcongviec">#REF!</definedName>
    <definedName name="Notes">#REF!</definedName>
    <definedName name="NOV">#REF!</definedName>
    <definedName name="NPP" hidden="1">#N/A</definedName>
    <definedName name="NR">#REF!</definedName>
    <definedName name="NS">#REF!</definedName>
    <definedName name="nsc">#REF!</definedName>
    <definedName name="nsk">#REF!</definedName>
    <definedName name="Number_of_Payments">#REF!</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vsASD">"V2004-09-30"</definedName>
    <definedName name="NvsAutoDrillOk">"VN"</definedName>
    <definedName name="NvsElapsedTime">0.000115740738692693</definedName>
    <definedName name="NvsEndTime">38274.6109953704</definedName>
    <definedName name="NvsInstLang">"VENG"</definedName>
    <definedName name="NvsInstSpec">"%,LACTUALS,SYTD,FACCOUNT,TEXTERNAL_ACCT_TREE,NRENT_EXP,FBUSINESS_UNIT,TCONSOLIDATED_LEH,NCONSOL_BU"</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"%,XZF.ACCOUNT.PSDetail"</definedName>
    <definedName name="NvsPanelEffdt">"V1995-01-01"</definedName>
    <definedName name="NvsPanelSetid">"VMFG"</definedName>
    <definedName name="NvsParentRef">"[TOP_LEH.xls]Sheet1!$AF$287"</definedName>
    <definedName name="NvsReqBU">"VELIM1"</definedName>
    <definedName name="NvsReqBUOnly">"VN"</definedName>
    <definedName name="NvsTransLed">"VN"</definedName>
    <definedName name="NvsTreeASD">"V2004-09-30"</definedName>
    <definedName name="ngan">{"Thuxm2.xls","Sheet1"}</definedName>
    <definedName name="NGAØY">#REF!</definedName>
    <definedName name="ngau">#REF!</definedName>
    <definedName name="ngu" hidden="1">{"'Sheet1'!$L$16"}</definedName>
    <definedName name="NH">#REF!</definedName>
    <definedName name="Nha">#REF!</definedName>
    <definedName name="nhancong">#REF!</definedName>
    <definedName name="nhfffd">{"DZ-TDTB2.XLS","Dcksat.xls"}</definedName>
    <definedName name="nhn">#REF!</definedName>
    <definedName name="nhom">#REF!</definedName>
    <definedName name="NHot">#REF!</definedName>
    <definedName name="nhu">#REF!</definedName>
    <definedName name="nhua">#REF!</definedName>
    <definedName name="nhuad">#REF!</definedName>
    <definedName name="ø" hidden="1">{"'Sheet1'!$L$16"}</definedName>
    <definedName name="O_M">#REF!</definedName>
    <definedName name="o_n_phÝ_1__thu_nhËp_th_ng">#REF!</definedName>
    <definedName name="oa" hidden="1">#REF!</definedName>
    <definedName name="OARP" hidden="1">{"'Sheet1'!$L$16"}</definedName>
    <definedName name="OCT">#REF!</definedName>
    <definedName name="OD">#REF!</definedName>
    <definedName name="ODC">#REF!</definedName>
    <definedName name="ODS">#REF!</definedName>
    <definedName name="ODU">#REF!</definedName>
    <definedName name="OM">#REF!</definedName>
    <definedName name="OMC">#REF!</definedName>
    <definedName name="OME">#REF!</definedName>
    <definedName name="OMW">#REF!</definedName>
    <definedName name="ong">#REF!</definedName>
    <definedName name="oo">#REF!</definedName>
    <definedName name="OOM">#REF!</definedName>
    <definedName name="ophom">#REF!</definedName>
    <definedName name="ORD">#REF!</definedName>
    <definedName name="OrderTable" hidden="1">#REF!</definedName>
    <definedName name="ORF">#REF!</definedName>
    <definedName name="OT">#REF!</definedName>
    <definedName name="oth">#REF!</definedName>
    <definedName name="oxy">#REF!</definedName>
    <definedName name="PA">#REF!</definedName>
    <definedName name="PA1_1">#REF!</definedName>
    <definedName name="Payment_Date">DATE(YEAR(Loan_Start),MONTH(Loan_Start)+Payment_Number,DAY(Loan_Start))</definedName>
    <definedName name="Payment_Number">ROW()-Header_Row</definedName>
    <definedName name="PDO" hidden="1">{"'Summary'!$A$1:$J$46"}</definedName>
    <definedName name="period">12</definedName>
    <definedName name="pgia">#REF!</definedName>
    <definedName name="picture1">#REF!</definedName>
    <definedName name="picture2">#REF!</definedName>
    <definedName name="picture23">INDEX(#REF!,MATCH(#REF!,#REF!))</definedName>
    <definedName name="PK">#REF!</definedName>
    <definedName name="PKTN." hidden="1">{"'Sheet1'!$L$16"}</definedName>
    <definedName name="PL" hidden="1">{"'Sheet1'!$L$16"}</definedName>
    <definedName name="PL02_cond_br">"Data_HTK!$A:$A,""Inv"",HTK_div,PL02_store,HTK_brand,$E44"</definedName>
    <definedName name="PLLYDOTUCHOI">#REF!</definedName>
    <definedName name="PlucBcaoTD" hidden="1">{"'Sheet1'!$L$16"}</definedName>
    <definedName name="Popn" hidden="1">{"'Sheet1'!$L$16"}</definedName>
    <definedName name="Position">#REF!</definedName>
    <definedName name="PPLSP403" hidden="1">{"'Sheet1'!$L$16"}</definedName>
    <definedName name="PPP" hidden="1">{"'장비'!$A$3:$M$12"}</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Principal">-PPMT(Interest_Rate/12,Payment_Number,Number_of_Payments,Loan_Amount)</definedName>
    <definedName name="_xlnm.Print_Area">#REF!</definedName>
    <definedName name="PRINT_AREA_MI">#REF!</definedName>
    <definedName name="_xlnm.Print_Titles">#N/A</definedName>
    <definedName name="PRINT_TITLES_MI">#REF!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gram">#REF!</definedName>
    <definedName name="Project_Start">#REF!</definedName>
    <definedName name="PROPOSAL">#REF!</definedName>
    <definedName name="Protex">#REF!</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nce">#REF!</definedName>
    <definedName name="PST">#REF!</definedName>
    <definedName name="pt">#REF!</definedName>
    <definedName name="PT_Duong">#REF!</definedName>
    <definedName name="ptdg">#REF!</definedName>
    <definedName name="PTDG_cau">#REF!</definedName>
    <definedName name="ptdg_cong">#REF!</definedName>
    <definedName name="ptdg_duong">#REF!</definedName>
    <definedName name="purpose">#REF!</definedName>
    <definedName name="phai" hidden="1">{"'Sheet1'!$L$16"}</definedName>
    <definedName name="phan3" hidden="1">{"'Sheet1'!$L$16"}</definedName>
    <definedName name="phan3.3" hidden="1">{"'Sheet1'!$L$16"}</definedName>
    <definedName name="phan4.2" hidden="1">{"'Sheet1'!$L$16"}</definedName>
    <definedName name="phan5" hidden="1">{"'Sheet1'!$L$16"}</definedName>
    <definedName name="phan6" hidden="1">{"'Sheet1'!$L$16"}</definedName>
    <definedName name="PHC">#REF!</definedName>
    <definedName name="PHOTO" hidden="1">#REF!</definedName>
    <definedName name="phu_luc_vua">#REF!</definedName>
    <definedName name="q" hidden="1">{"'Sheet1'!$L$16"}</definedName>
    <definedName name="QAA" hidden="1">{"TAG1AGMS",#N/A,FALSE,"TAG 1A"}</definedName>
    <definedName name="QẺTTT" hidden="1">{"'Sheet1'!$L$16"}</definedName>
    <definedName name="qgq" hidden="1">#N/A</definedName>
    <definedName name="qh">#REF!</definedName>
    <definedName name="qqq" hidden="1">{"Tages_D",#N/A,FALSE,"Tagesbericht";"Tages_PL",#N/A,FALSE,"Tagesbericht"}</definedName>
    <definedName name="qqqq" hidden="1">{"'장비'!$A$3:$M$12"}</definedName>
    <definedName name="qqssssss" hidden="1">{"'Sheet1'!$L$16"}</definedName>
    <definedName name="qtdm">#REF!</definedName>
    <definedName name="qưqq" hidden="1">{"'Sheet1'!$L$16"}</definedName>
    <definedName name="QWDASD" hidden="1">{"'Sheet1'!$L$16"}</definedName>
    <definedName name="Quantities">#REF!</definedName>
    <definedName name="ra11p">#REF!</definedName>
    <definedName name="ra13p">#REF!</definedName>
    <definedName name="Ranhxay" hidden="1">{"'Sheet1'!$L$16"}</definedName>
    <definedName name="rate">14000</definedName>
    <definedName name="rawdata">#REF!</definedName>
    <definedName name="RCArea" hidden="1">#REF!</definedName>
    <definedName name="RCF">#REF!</definedName>
    <definedName name="RCKM">#REF!</definedName>
    <definedName name="RDEC">#REF!</definedName>
    <definedName name="RDEFF">#REF!</definedName>
    <definedName name="RDFC">#REF!</definedName>
    <definedName name="RDFU">#REF!</definedName>
    <definedName name="RDLIF">#REF!</definedName>
    <definedName name="RDOM">#REF!</definedName>
    <definedName name="rdpcf">#REF!</definedName>
    <definedName name="RDRC">#REF!</definedName>
    <definedName name="RDRF">#REF!</definedName>
    <definedName name="Rec.13501.0113" hidden="1">#REF!</definedName>
    <definedName name="RECOUT">#N/A</definedName>
    <definedName name="RedefinePrintTableRange" hidden="1">#N/A</definedName>
    <definedName name="RefData">#REF!</definedName>
    <definedName name="RefDate">#REF!</definedName>
    <definedName name="REFSITE">#REF!</definedName>
    <definedName name="refuse">#REF!</definedName>
    <definedName name="REG">#REF!</definedName>
    <definedName name="Region">#REF!</definedName>
    <definedName name="ReportCreated">TRUE</definedName>
    <definedName name="result">#REF!</definedName>
    <definedName name="rfju" hidden="1">{"'Sheet1'!$L$16"}</definedName>
    <definedName name="RFP003A">#REF!</definedName>
    <definedName name="RFP003B">#REF!</definedName>
    <definedName name="RFP003C">#REF!</definedName>
    <definedName name="RFP003D">#REF!</definedName>
    <definedName name="RFP003E">#REF!</definedName>
    <definedName name="RFP003F">#REF!</definedName>
    <definedName name="rggsg" hidden="1">{"'Sheet1'!$L$16"}</definedName>
    <definedName name="RGLIF">#REF!</definedName>
    <definedName name="rgshds" hidden="1">{"'Sheet1'!$L$16"}</definedName>
    <definedName name="RHEC">#REF!</definedName>
    <definedName name="RHEFF">#REF!</definedName>
    <definedName name="RHHC">#REF!</definedName>
    <definedName name="RHLIF">#REF!</definedName>
    <definedName name="RHODIA" hidden="1">{"'DocTypeCode'!$A$142:$A$226"}</definedName>
    <definedName name="RHOM">#REF!</definedName>
    <definedName name="Riovista" hidden="1">#REF!</definedName>
    <definedName name="RIR">#REF!</definedName>
    <definedName name="RiskCollectDistributionSamples">2</definedName>
    <definedName name="RiskFixedSeed">1</definedName>
    <definedName name="RiskNumIterations">50</definedName>
    <definedName name="RiskNumSimulations">1</definedName>
    <definedName name="RiskResultsUpdateFreq">100</definedName>
    <definedName name="RiskSamplingType">3</definedName>
    <definedName name="RiskStandardRecalc">1</definedName>
    <definedName name="RiskStatFunctionsUpdateFreq">1</definedName>
    <definedName name="River">#REF!</definedName>
    <definedName name="River_Code">#REF!</definedName>
    <definedName name="RLF">#REF!</definedName>
    <definedName name="RLKM">#REF!</definedName>
    <definedName name="RLL">#REF!</definedName>
    <definedName name="RLOM">#REF!</definedName>
    <definedName name="RMCOptions">"*100000000000000"</definedName>
    <definedName name="Road_Code">#REF!</definedName>
    <definedName name="Road_Name">#REF!</definedName>
    <definedName name="RoadNo_373">#REF!</definedName>
    <definedName name="round">1</definedName>
    <definedName name="ROW">#REF!</definedName>
    <definedName name="RPHEC">#REF!</definedName>
    <definedName name="RPHLIF">#REF!</definedName>
    <definedName name="RPHOM">#REF!</definedName>
    <definedName name="RPHPC">#REF!</definedName>
    <definedName name="rrehe" hidden="1">{"Tages_D",#N/A,FALSE,"Tagesbericht";"Tages_PL",#N/A,FALSE,"Tagesbericht"}</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r" hidden="1">{"Tages_D",#N/A,FALSE,"Tagesbericht";"Tages_PL",#N/A,FALSE,"Tagesbericht"}</definedName>
    <definedName name="ru" hidden="1">{"'Sheet1'!$L$16"}</definedName>
    <definedName name="RWTPlo">#REF!</definedName>
    <definedName name="RWTPhi">#REF!</definedName>
    <definedName name="s">#REF!</definedName>
    <definedName name="S_1">#REF!</definedName>
    <definedName name="S_2">#REF!</definedName>
    <definedName name="sa" hidden="1">{"'Sheet1'!$L$16"}</definedName>
    <definedName name="saa" hidden="1">{"'Sheet1'!$L$16"}</definedName>
    <definedName name="sadas" hidden="1">#REF!</definedName>
    <definedName name="sadasd" hidden="1">#REF!</definedName>
    <definedName name="SANPHAM">#REF!</definedName>
    <definedName name="saø" hidden="1">{"'Sheet1'!$L$16"}</definedName>
    <definedName name="SAPBEXdnldView" hidden="1">"CK5B5R2I2VE1WYR48R1A1412G"</definedName>
    <definedName name="SAPBEXrevision" hidden="1">1</definedName>
    <definedName name="SAPBEXsysID" hidden="1">"BW1"</definedName>
    <definedName name="SAPBEXwbID" hidden="1">"3L1MQQ0K8VOWDZOU6BT89AWIY"</definedName>
    <definedName name="SAPFuncF4Help" localSheetId="2" hidden="1">Main.SAPF4Help()</definedName>
    <definedName name="SAPFuncF4Help" hidden="1">Main.SAPF4Help()</definedName>
    <definedName name="sas" hidden="1">{"'Sheet1'!$L$16"}</definedName>
    <definedName name="SASAS" hidden="1">{"'Sheet1'!$L$16"}</definedName>
    <definedName name="Sau">#REF!</definedName>
    <definedName name="sav" hidden="1">{"'Sheet1'!$L$16"}</definedName>
    <definedName name="save_time">38377.839212963</definedName>
    <definedName name="SC" hidden="1">{"'Sheet1'!$L$16"}</definedName>
    <definedName name="SCH">#REF!</definedName>
    <definedName name="SD" hidden="1">{"'Sheet1'!$L$16"}</definedName>
    <definedName name="sda">#REF!</definedName>
    <definedName name="SDDSD" hidden="1">{"'Sheet1'!$L$16"}</definedName>
    <definedName name="sdf" hidden="1">{"'Sheet1'!$L$16"}</definedName>
    <definedName name="sdfads" hidden="1">{"'Sheet1'!$L$16"}</definedName>
    <definedName name="sdffg" hidden="1">{"'Sheet1'!$L$16"}</definedName>
    <definedName name="sdfsdfsd" hidden="1">{"'Sheet1'!$L$16"}</definedName>
    <definedName name="sdfw" hidden="1">{"'Sheet1'!$L$16"}</definedName>
    <definedName name="sdg" hidden="1">#REF!</definedName>
    <definedName name="sdgdsg" hidden="1">{"'Sheet1'!$L$16"}</definedName>
    <definedName name="SDMONG">#REF!</definedName>
    <definedName name="sds" hidden="1">{"'Sheet1'!$L$16"}</definedName>
    <definedName name="sdsad" hidden="1">{"F3 detail",#N/A,FALSE,"F1";"F3 Presentation",#N/A,FALSE,"F3 "}</definedName>
    <definedName name="sdsds" hidden="1">#REF!</definedName>
    <definedName name="sdz" hidden="1">{"'Sheet1'!$L$16"}</definedName>
    <definedName name="SE" hidden="1">{"'Sheet1'!$L$16"}</definedName>
    <definedName name="sencount" hidden="1">2</definedName>
    <definedName name="Sens" hidden="1">{#N/A,#N/A,FALSE,"Sensitivity"}</definedName>
    <definedName name="Sensation">#REF!</definedName>
    <definedName name="seysety" hidden="1">{"'Sheet1'!$L$16"}</definedName>
    <definedName name="sf" hidden="1">{"'Sheet1'!$L$16"}</definedName>
    <definedName name="sfsd" hidden="1">{"'Sheet1'!$L$16"}</definedName>
    <definedName name="sfsdg" hidden="1">{"'Sheet1'!$L$16"}</definedName>
    <definedName name="sgd" hidden="1">#REF!</definedName>
    <definedName name="sgfhsdhe" hidden="1">{"'Sheet1'!$L$16"}</definedName>
    <definedName name="sgsdg" hidden="1">{"'Sheet1'!$L$16"}</definedName>
    <definedName name="sh" hidden="1">{"'Sheet1'!$L$16"}</definedName>
    <definedName name="Sheet1">#REF!</definedName>
    <definedName name="sheet2" hidden="1">{"'Sheet1'!$L$16"}</definedName>
    <definedName name="sheet3" hidden="1">{"NGUYEN QUI THIEP - Personal View",#N/A,FALSE,"XDCB.HT.FUR."}</definedName>
    <definedName name="SheetBS">"MisBS"</definedName>
    <definedName name="SheetGL">"MisGL"</definedName>
    <definedName name="SheetPL">"MisPL"</definedName>
    <definedName name="sho">#REF!</definedName>
    <definedName name="shshryhasyhj" hidden="1">#N/A</definedName>
    <definedName name="shss" hidden="1">#N/A</definedName>
    <definedName name="SIZE">#REF!</definedName>
    <definedName name="sjkrs" hidden="1">{"'Sheet1'!$L$16"}</definedName>
    <definedName name="SKUcoverage">#REF!</definedName>
    <definedName name="SL">#REF!</definedName>
    <definedName name="SL_CRD">#REF!</definedName>
    <definedName name="SL_CRS">#REF!</definedName>
    <definedName name="SL_CS">#REF!</definedName>
    <definedName name="SL_DD">#REF!</definedName>
    <definedName name="slk">#REF!</definedName>
    <definedName name="sll">#REF!</definedName>
    <definedName name="soc3p">#REF!</definedName>
    <definedName name="sodangkûtichkh" hidden="1">{"'Sheet1'!$L$16"}</definedName>
    <definedName name="Soi">#REF!</definedName>
    <definedName name="soichon12">#REF!</definedName>
    <definedName name="soichon24">#REF!</definedName>
    <definedName name="soichon46">#REF!</definedName>
    <definedName name="solieu">#REF!</definedName>
    <definedName name="son">#REF!</definedName>
    <definedName name="SORT">#REF!</definedName>
    <definedName name="Sosanh2" hidden="1">{"'Sheet1'!$L$16"}</definedName>
    <definedName name="SPAN">#REF!</definedName>
    <definedName name="SPAN_No">#REF!</definedName>
    <definedName name="Spanner_Auto_File">"C:\My Documents\tinh cdo.x2a"</definedName>
    <definedName name="SPEC">#REF!</definedName>
    <definedName name="SpecialPrice" hidden="1">#REF!</definedName>
    <definedName name="SPECSUMMARY">#REF!</definedName>
    <definedName name="spk1p">#REF!</definedName>
    <definedName name="SS" hidden="1">{"'Sheet1'!$L$16"}</definedName>
    <definedName name="sss" hidden="1">{"'Sheet1'!$L$16"}</definedName>
    <definedName name="ssss" hidden="1">{"fleisch",#N/A,FALSE,"WG HK";"food",#N/A,FALSE,"WG HK";"hartwaren",#N/A,FALSE,"WG HK";"weichwaren",#N/A,FALSE,"WG HK"}</definedName>
    <definedName name="SSSSS" hidden="1">{"F3 detail",#N/A,FALSE,"F1";"F3 Presentation",#N/A,FALSE,"F3 "}</definedName>
    <definedName name="ssssss" hidden="1">{"'Sheet1'!$L$16"}</definedName>
    <definedName name="sssssss" hidden="1">{"fleisch",#N/A,FALSE,"WG HK";"food",#N/A,FALSE,"WG HK";"hartwaren",#N/A,FALSE,"WG HK";"weichwaren",#N/A,FALSE,"WG HK"}</definedName>
    <definedName name="ssssssss" hidden="1">#REF!</definedName>
    <definedName name="ssy" hidden="1">#N/A</definedName>
    <definedName name="ST_TH2_131">3</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Date">#REF!</definedName>
    <definedName name="Status">#REF!</definedName>
    <definedName name="STD">#REF!</definedName>
    <definedName name="stt">#REF!</definedName>
    <definedName name="stt_1">#REF!</definedName>
    <definedName name="stzbtns" hidden="1">{"'Sheet1'!$L$16"}</definedName>
    <definedName name="SU">#REF!</definedName>
    <definedName name="Subbase" hidden="1">{"'Sheet1'!$L$16"}</definedName>
    <definedName name="SUL">#REF!</definedName>
    <definedName name="sum">#REF!</definedName>
    <definedName name="SUMMARY">#REF!</definedName>
    <definedName name="SunServerCost">130000*1.64</definedName>
    <definedName name="swqsq" hidden="1">{#N/A,#N/A,FALSE,"Income State.";#N/A,#N/A,FALSE,"B-S"}</definedName>
    <definedName name="Swvu.inputs._.raw._.data." hidden="1">#REF!</definedName>
    <definedName name="Swvu.summary1." hidden="1">#REF!</definedName>
    <definedName name="Swvu.summary2." hidden="1">#REF!</definedName>
    <definedName name="Swvu.summary3." hidden="1">#REF!</definedName>
    <definedName name="sy" hidden="1">#REF!</definedName>
    <definedName name="T">#REF!</definedName>
    <definedName name="T.3" hidden="1">{"'Sheet1'!$L$16"}</definedName>
    <definedName name="T.nhËp">#REF!</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able_total_apps" localSheetId="2">data_total_Apps</definedName>
    <definedName name="table_total_apps">data_total_Apps</definedName>
    <definedName name="tadao">#REF!</definedName>
    <definedName name="Tai_trong">#REF!</definedName>
    <definedName name="Tam">#REF!</definedName>
    <definedName name="TAMTINH">#REF!</definedName>
    <definedName name="tan" hidden="1">{"'Sheet1'!$L$16"}</definedName>
    <definedName name="tangdo">#REF!</definedName>
    <definedName name="TAT">#REF!</definedName>
    <definedName name="taun">#REF!</definedName>
    <definedName name="tax">#REF!</definedName>
    <definedName name="TaxTV">10%</definedName>
    <definedName name="TaxXL">5%</definedName>
    <definedName name="TBA">#REF!</definedName>
    <definedName name="tbao" hidden="1">{"'Sheet1'!$L$16"}</definedName>
    <definedName name="tbl_ProdInfo" hidden="1">#REF!</definedName>
    <definedName name="tbtram">#REF!</definedName>
    <definedName name="tbuoc">#REF!</definedName>
    <definedName name="TC">#REF!</definedName>
    <definedName name="TC_NHANH1">#REF!</definedName>
    <definedName name="TD">#REF!</definedName>
    <definedName name="td10vl">#REF!</definedName>
    <definedName name="td12nc">#REF!</definedName>
    <definedName name="td1p">#REF!</definedName>
    <definedName name="td3p">#REF!</definedName>
    <definedName name="tdia">#REF!</definedName>
    <definedName name="tdnc1p">#REF!</definedName>
    <definedName name="tdt">#REF!</definedName>
    <definedName name="tdtr2cnc">#REF!</definedName>
    <definedName name="tdtr2cvl">#REF!</definedName>
    <definedName name="tdvl1p">#REF!</definedName>
    <definedName name="temp">#REF!</definedName>
    <definedName name="Temp_Br">#REF!</definedName>
    <definedName name="TEMPBR">#REF!</definedName>
    <definedName name="tenvung">#REF!</definedName>
    <definedName name="test">#REF!</definedName>
    <definedName name="Textname">"Text 26"</definedName>
    <definedName name="TextRefCopyRangeCount" hidden="1">5</definedName>
    <definedName name="tgoc">#REF!</definedName>
    <definedName name="TI">#REF!</definedName>
    <definedName name="Tien">#REF!</definedName>
    <definedName name="TIM" hidden="1">{"'Sheet1'!$L$16"}</definedName>
    <definedName name="tim_xuat_hien">#REF!</definedName>
    <definedName name="Times" localSheetId="2" hidden="1">Main.SAPF4Help()</definedName>
    <definedName name="Times" hidden="1">Main.SAPF4Help()</definedName>
    <definedName name="TITAN">#REF!</definedName>
    <definedName name="tjk" hidden="1">{"'Sheet1'!$L$16"}</definedName>
    <definedName name="TK">#REF!</definedName>
    <definedName name="tkt" hidden="1">{"'Sheet1'!$L$16"}</definedName>
    <definedName name="TL">#REF!</definedName>
    <definedName name="TLAC120">#REF!</definedName>
    <definedName name="TLAC35">#REF!</definedName>
    <definedName name="TLAC50">#REF!</definedName>
    <definedName name="TLAC70">#REF!</definedName>
    <definedName name="TLAC95">#REF!</definedName>
    <definedName name="Tle">#REF!</definedName>
    <definedName name="tluong">#REF!</definedName>
    <definedName name="TM">#REF!</definedName>
    <definedName name="TMDT1">#REF!</definedName>
    <definedName name="TMDT2">#REF!</definedName>
    <definedName name="TMDTmoi">#REF!</definedName>
    <definedName name="TN">#REF!</definedName>
    <definedName name="TN_b_qu_n">#REF!</definedName>
    <definedName name="TO_DATE">#REF!</definedName>
    <definedName name="Tonmai">#REF!</definedName>
    <definedName name="tonghop">#REF!</definedName>
    <definedName name="TonghopHtxH">#REF!</definedName>
    <definedName name="TonghopHtxT">#REF!</definedName>
    <definedName name="TOP">#REF!</definedName>
    <definedName name="TOTAL">#REF!</definedName>
    <definedName name="Total_Cost">#REF!</definedName>
    <definedName name="Total_Interest">#REF!</definedName>
    <definedName name="TPLRP">#REF!</definedName>
    <definedName name="ts">#REF!</definedName>
    <definedName name="tsI">#REF!</definedName>
    <definedName name="tt">#REF!</definedName>
    <definedName name="TT_1P">#REF!</definedName>
    <definedName name="TT_3p">#REF!</definedName>
    <definedName name="ttam">#REF!</definedName>
    <definedName name="ttao">#REF!</definedName>
    <definedName name="ttbt">#REF!</definedName>
    <definedName name="TTD">#REF!</definedName>
    <definedName name="TTSC" hidden="1">{"'Sheet1'!$L$16"}</definedName>
    <definedName name="tttt">#REF!</definedName>
    <definedName name="TTVAn5">#REF!</definedName>
    <definedName name="tthi">#REF!</definedName>
    <definedName name="ttronmk">#REF!</definedName>
    <definedName name="TU" hidden="1">{"'Sheet1'!$L$16"}</definedName>
    <definedName name="tuchoi">#REF!</definedName>
    <definedName name="Tuvan">#REF!</definedName>
    <definedName name="tuyennhanh" hidden="1">{"'Sheet1'!$L$16"}</definedName>
    <definedName name="tuynen" hidden="1">{"'Sheet1'!$L$16"}</definedName>
    <definedName name="TV">#REF!</definedName>
    <definedName name="tv75nc">#REF!</definedName>
    <definedName name="tv75vl">#REF!</definedName>
    <definedName name="Twister">#REF!</definedName>
    <definedName name="ty_le">#REF!</definedName>
    <definedName name="ty_le_BTN">#REF!</definedName>
    <definedName name="Ty_le1">#REF!</definedName>
    <definedName name="TYPE">#REF!</definedName>
    <definedName name="Type_1">#REF!</definedName>
    <definedName name="Type_2">#REF!</definedName>
    <definedName name="tyu" hidden="1">{"'Sheet1'!$L$16"}</definedName>
    <definedName name="TH_VKHNN">#REF!</definedName>
    <definedName name="tha" hidden="1">{"'Sheet1'!$L$16"}</definedName>
    <definedName name="than" hidden="1">{"'Sheet1'!$L$16"}</definedName>
    <definedName name="thang_nay" hidden="1">#REF!</definedName>
    <definedName name="Thang00">Y*100</definedName>
    <definedName name="Thang01">Y*100+1</definedName>
    <definedName name="Thang1" hidden="1">{"'Sheet1'!$L$16"}</definedName>
    <definedName name="thang10" hidden="1">{"'Sheet1'!$L$16"}</definedName>
    <definedName name="Thang12">Y*100+12</definedName>
    <definedName name="ThangCaNam">Y*100+1&amp;":"&amp;Y*100+12</definedName>
    <definedName name="thanh" hidden="1">{"'Sheet1'!$L$16"}</definedName>
    <definedName name="ThaoCauCu">#REF!</definedName>
    <definedName name="ÞBM">#REF!</definedName>
    <definedName name="THC" hidden="1">{"'Sheet1'!$L$16"}</definedName>
    <definedName name="Þcot">#REF!</definedName>
    <definedName name="THCP2" hidden="1">{"'Sheet1'!$L$16"}</definedName>
    <definedName name="THCPCTD" hidden="1">{"'Sheet1'!$L$16"}</definedName>
    <definedName name="ÞCTd4">#REF!</definedName>
    <definedName name="ÞCTt4">#REF!</definedName>
    <definedName name="THchon">#REF!</definedName>
    <definedName name="thd">1000</definedName>
    <definedName name="Þdamd4">#REF!</definedName>
    <definedName name="Þdamt4">#REF!</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goc25_60">#REF!</definedName>
    <definedName name="thepgoc63_75">#REF!</definedName>
    <definedName name="thepgoc80_100">#REF!</definedName>
    <definedName name="theptron12">#REF!</definedName>
    <definedName name="theptron14_22">#REF!</definedName>
    <definedName name="theptron6_8">#REF!</definedName>
    <definedName name="THGO1pnc">#REF!</definedName>
    <definedName name="THHD" hidden="1">{"'Sheet1'!$L$16"}</definedName>
    <definedName name="thht">#REF!</definedName>
    <definedName name="THHVT" hidden="1">{"'Sheet1'!$L$16"}</definedName>
    <definedName name="THI">#REF!</definedName>
    <definedName name="thkp3">#REF!</definedName>
    <definedName name="THLeloi" hidden="1">{"'Sheet1'!$L$16"}</definedName>
    <definedName name="Þmong">#REF!</definedName>
    <definedName name="ÞNXoldk">#REF!</definedName>
    <definedName name="THNgHue" hidden="1">{"'Sheet1'!$L$16"}</definedName>
    <definedName name="THNgThHoc" hidden="1">{"'Sheet1'!$L$16"}</definedName>
    <definedName name="thop">#REF!</definedName>
    <definedName name="THop2">#REF!</definedName>
    <definedName name="thou">#REF!</definedName>
    <definedName name="THQuiCapChan" hidden="1">{"'Sheet1'!$L$16"}</definedName>
    <definedName name="thQuicaple" hidden="1">{"'Sheet1'!$L$16"}</definedName>
    <definedName name="Þsan">#REF!</definedName>
    <definedName name="THToanBo">#REF!</definedName>
    <definedName name="THtoanbo2">#REF!</definedName>
    <definedName name="thtt">#REF!</definedName>
    <definedName name="THTranPhu" hidden="1">{"'Sheet1'!$L$16"}</definedName>
    <definedName name="thu" hidden="1">{"'Sheet1'!$L$16"}</definedName>
    <definedName name="thue">6</definedName>
    <definedName name="thuy" hidden="1">{"'Sheet1'!$L$16"}</definedName>
    <definedName name="THYT" hidden="1">{"'Sheet1'!$L$16"}</definedName>
    <definedName name="tr" hidden="1">{"'Sheet1'!$L$16"}</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m" hidden="1">{"'Sheet1'!$L$16"}</definedName>
    <definedName name="TRANS_TYPE">#REF!</definedName>
    <definedName name="TRANG" hidden="1">{"'Sheet1'!$L$16"}</definedName>
    <definedName name="Trạng_thái_khoản_vay_được_duyệt">#REF!</definedName>
    <definedName name="TRAVL">#REF!</definedName>
    <definedName name="trend1">#REF!</definedName>
    <definedName name="trend2">#REF!</definedName>
    <definedName name="trend3">#REF!</definedName>
    <definedName name="TRISO">#REF!</definedName>
    <definedName name="trt">#REF!</definedName>
    <definedName name="trtt" hidden="1">{#N/A,#N/A,FALSE,"Chi tiÆt"}</definedName>
    <definedName name="trygmdgdh" hidden="1">{"'Sheet1'!$L$16"}</definedName>
    <definedName name="tryijtryi" hidden="1">{"'Sheet1'!$L$16"}</definedName>
    <definedName name="U_tien">#REF!</definedName>
    <definedName name="uhpupui" hidden="1">{"'Sheet1'!$L$16"}</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#REF!</definedName>
    <definedName name="ungT3" hidden="1">{"'Sheet1'!$L$16"}</definedName>
    <definedName name="UP">#REF!,#REF!,#REF!,#REF!,#REF!,#REF!,#REF!,#REF!,#REF!,#REF!,#REF!</definedName>
    <definedName name="upnoc">#REF!</definedName>
    <definedName name="usd">#REF!</definedName>
    <definedName name="ut">#REF!</definedName>
    <definedName name="UT_1">#REF!</definedName>
    <definedName name="UT1_373">#REF!</definedName>
    <definedName name="uyi" hidden="1">{"'Sheet1'!$L$16"}</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 hidden="1">{"NGUYEN QUI THIEP - Personal View",#N/A,FALSE,"XDCB.HT.FUR."}</definedName>
    <definedName name="vaaaaaavavv" hidden="1">#N/A</definedName>
    <definedName name="VAÄT_LIEÄU">"ATRAM"</definedName>
    <definedName name="value">3</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IF(Loan_Amount*Interest_Rate*Loan_Years*Loan_Start&gt;0,1,0)</definedName>
    <definedName name="Valve" hidden="1">{"'Sheet1'!$L$16"}</definedName>
    <definedName name="VanChuyenDam">#REF!</definedName>
    <definedName name="VARIINST">#REF!</definedName>
    <definedName name="VARIPURC">#REF!</definedName>
    <definedName name="VASe2e2" hidden="1">{#N/A,#N/A,FALSE,"Income State.";#N/A,#N/A,FALSE,"B-S"}</definedName>
    <definedName name="VAT">#REF!</definedName>
    <definedName name="vatlieu">#REF!</definedName>
    <definedName name="vbtchongnuocm300">#REF!</definedName>
    <definedName name="vbtm150">#REF!</definedName>
    <definedName name="vbtm300">#REF!</definedName>
    <definedName name="vbtm400">#REF!</definedName>
    <definedName name="vc">#REF!</definedName>
    <definedName name="VC4tr" hidden="1">{"'Sheet1'!$L$16"}</definedName>
    <definedName name="vcc">#REF!</definedName>
    <definedName name="vccot">#REF!</definedName>
    <definedName name="vcd">#REF!</definedName>
    <definedName name="vcdc">#REF!</definedName>
    <definedName name="vcn">#REF!</definedName>
    <definedName name="vcoto" hidden="1">{"'Sheet1'!$L$16"}</definedName>
    <definedName name="vct">#REF!</definedName>
    <definedName name="vctb">#REF!</definedName>
    <definedName name="VCTT">#REF!</definedName>
    <definedName name="vcxi">#REF!</definedName>
    <definedName name="VCHT">#REF!</definedName>
    <definedName name="vd3p">#REF!</definedName>
    <definedName name="Version">520</definedName>
    <definedName name="versionno">1</definedName>
    <definedName name="VËt_liÖu">#REF!</definedName>
    <definedName name="vh" hidden="1">{"'Sheet1'!$L$16"}</definedName>
    <definedName name="vhxfj" hidden="1">{"'Sheet1'!$L$16"}</definedName>
    <definedName name="VIỆTĐÔNG" hidden="1">{"'Sheet1'!$L$16"}</definedName>
    <definedName name="vkcauthang">#REF!</definedName>
    <definedName name="vksan">#REF!</definedName>
    <definedName name="VL">#REF!</definedName>
    <definedName name="vl1p">#REF!</definedName>
    <definedName name="vl3p">#REF!</definedName>
    <definedName name="Vlcap0.7">#REF!</definedName>
    <definedName name="VLcap1">#REF!</definedName>
    <definedName name="vlct" hidden="1">{"'Sheet1'!$L$16"}</definedName>
    <definedName name="vldn400">#REF!</definedName>
    <definedName name="vldn600">#REF!</definedName>
    <definedName name="VLP" hidden="1">{"'Sheet1'!$L$16"}</definedName>
    <definedName name="vltram">#REF!</definedName>
    <definedName name="Vnd_bio">10^9</definedName>
    <definedName name="VND_mil">10^6</definedName>
    <definedName name="vr3p">#REF!</definedName>
    <definedName name="VT">#REF!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vv" hidden="1">{"'Sheet1'!$L$16"}</definedName>
    <definedName name="vxuan">#REF!</definedName>
    <definedName name="W">#REF!</definedName>
    <definedName name="wergqerrgqwergr" hidden="1">#N/A</definedName>
    <definedName name="wjsr" hidden="1">#REF!</definedName>
    <definedName name="wõe" hidden="1">{"'Sheet1'!$L$16"}</definedName>
    <definedName name="wrg.Tages" hidden="1">{"Tages_D",#N/A,FALSE,"Tagesbericht";"Tages_PL",#N/A,FALSE,"Tagesbericht"}</definedName>
    <definedName name="WRITE" hidden="1">{#N/A,#N/A,FALSE,"CCTV"}</definedName>
    <definedName name="wrn.97년._.사업계획._.및._.예산지침." hidden="1">{#N/A,#N/A,TRUE,"1";#N/A,#N/A,TRUE,"2";#N/A,#N/A,TRUE,"3";#N/A,#N/A,TRUE,"4";#N/A,#N/A,TRUE,"5";#N/A,#N/A,TRUE,"6";#N/A,#N/A,TRUE,"7"}</definedName>
    <definedName name="wrn.aaa." hidden="1">{#N/A,#N/A,FALSE,"Sheet1";#N/A,#N/A,FALSE,"Sheet1";#N/A,#N/A,FALSE,"Sheet1"}</definedName>
    <definedName name="wrn.ACTUAL._.EXPENSES." hidden="1">{#N/A,#N/A,TRUE,"Titles";#N/A,#N/A,TRUE,"Actual vs Budget";#N/A,#N/A,TRUE,"Total by Mngnt I";#N/A,#N/A,TRUE,"Total by Mngnt II";#N/A,#N/A,TRUE,"Personnel";#N/A,#N/A,TRUE,"TTL ΓΕΝΙΚΗ ΔΝΣΗ I";#N/A,#N/A,TRUE,"TTL ΓΕΝΙΚΗ ΔΝΣΗ ΙΙ";#N/A,#N/A,TRUE,"ΔΝΣΗ ΑΝΘΡΩΠΙΝΟΥ ΔΥΝ.";#N/A,#N/A,TRUE,"ΔΝΣΗ ΟΙΚΟΝ. &amp; ΔΙΟΙΚ.";#N/A,#N/A,TRUE,"TTL ΔΝΣΗ ΠΩΛΗΣΕΩΝ";#N/A,#N/A,TRUE,"TTL ΔΝΣΗ MARKETING";#N/A,#N/A,TRUE,"TTL ΔΝΣΗ  ΠΙΣΤΩΣΕΩΝ";#N/A,#N/A,TRUE,"ΔΝΣΗ IT ";#N/A,#N/A,TRUE,"BACK OFFICE &amp; OPS";#N/A,#N/A,TRUE,"CUSTOMER SERVICE";#N/A,#N/A,TRUE,"ΔΝΣΗ RISK MNGNT";#N/A,#N/A,TRUE,"ΔΝΣΗ AUTO MOTO"}</definedName>
    <definedName name="wrn.BM." hidden="1">{#N/A,#N/A,FALSE,"CCTV"}</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cong." hidden="1">{#N/A,#N/A,FALSE,"Sheet1"}</definedName>
    <definedName name="wrn.chi._.tiÆt." hidden="1">{#N/A,#N/A,FALSE,"Chi tiÆt"}</definedName>
    <definedName name="wrn.Full." hidden="1">{#N/A,#N/A,FALSE,"JV";#N/A,#N/A,FALSE,"Source"}</definedName>
    <definedName name="wrn.Full._.Findex._.Report."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rup" hidden="1">{"fleisch",#N/A,FALSE,"WG HK";"food",#N/A,FALSE,"WG HK";"hartwaren",#N/A,FALSE,"WG HK";"weichwaren",#N/A,FALSE,"WG HK"}</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HPC._.Budget._._._.LVN._.North."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s._._LVN._.South."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IS._.BS." hidden="1">{#N/A,#N/A,FALSE,"Income State.";#N/A,#N/A,FALSE,"B-S"}</definedName>
    <definedName name="wrn.list" hidden="1">{"weichwaren",#N/A,FALSE,"Liste 1";"hartwaren",#N/A,FALSE,"Liste 1";"food",#N/A,FALSE,"Liste 1";"fleisch",#N/A,FALSE,"Liste 1"}</definedName>
    <definedName name="wrn.LISTE." hidden="1">{"weichwaren",#N/A,FALSE,"Liste 1";"hartwaren",#N/A,FALSE,"Liste 1";"food",#N/A,FALSE,"Liste 1";"fleisch",#N/A,FALSE,"Liste 1"}</definedName>
    <definedName name="wrn.mai._.khanh." hidden="1">{"NGUYEN QUI THIEP - Personal View",#N/A,FALSE,"XDCB.HT.FUR."}</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onthly._.Statement." hidden="1">{#N/A,#N/A,FALSE,"Tabelle2";#N/A,#N/A,FALSE,"Tabelle1"}</definedName>
    <definedName name="wrn.Powder._.Sites._.Only."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hak." hidden="1">{#N/A,#N/A,TRUE,"Tæng hîp"}</definedName>
    <definedName name="wrn.Reisekosten._.und._.Timesheet." hidden="1">{#N/A,#N/A,TRUE,"Time";#N/A,#N/A,TRUE,"VER";#N/A,#N/A,TRUE,"K1_R";#N/A,#N/A,TRUE,"K2_R";#N/A,#N/A,TRUE,"K3_R";#N/A,#N/A,TRUE,"K4_R";#N/A,#N/A,TRUE,"K5_R";#N/A,#N/A,TRUE,"K6_R";#N/A,#N/A,TRUE,"K7_R"}</definedName>
    <definedName name="wrn.Reisekosten._.und._.Timesheets." hidden="1">{#N/A,#N/A,FALSE,"DK1VER";#N/A,#N/A,FALSE,"DK1VER"}</definedName>
    <definedName name="wrn.Report." hidden="1">{"Offgrid",#N/A,FALSE,"OFFGRID";"Region",#N/A,FALSE,"REGION";"Offgrid -2",#N/A,FALSE,"OFFGRID";"WTP",#N/A,FALSE,"WTP";"WTP -2",#N/A,FALSE,"WTP";"Project",#N/A,FALSE,"PROJECT";"Summary -2",#N/A,FALSE,"SUMMARY"}</definedName>
    <definedName name="wrn.Sensitivity." hidden="1">{#N/A,#N/A,FALSE,"Sensitivity"}</definedName>
    <definedName name="wrn.sensitivity2" hidden="1">{#N/A,#N/A,FALSE,"Sensitivity"}</definedName>
    <definedName name="wrn.sensitivity3" hidden="1">{#N/A,#N/A,FALSE,"Sensitivity"}</definedName>
    <definedName name="wrn.Shampoo._.Sites._.Only." hidden="1">{#N/A,#N/A,TRUE,"Cover Page";#N/A,"TD Shampoo Sachet Plant",TRUE,"HPC Plants";#N/A,"TD Shampoo Bottle Plant",TRUE,"HPC Plants";#N/A,"TD Shampoo Plant",TRUE,"HPC Plants"}</definedName>
    <definedName name="wrn.Stock._.Cover._.KPI._.Report." hidden="1">{#N/A,#N/A,TRUE,"Inventory-FG";#N/A,#N/A,TRUE,"Inventory-RM";#N/A,#N/A,TRUE,"Inventory-PM";#N/A,#N/A,TRUE,"Inventory-Sparepart"}</definedName>
    <definedName name="wrn.Stundenzettel." hidden="1">{#N/A,#N/A,FALSE,"M1";#N/A,#N/A,FALSE,"K7";#N/A,#N/A,FALSE,"K6";#N/A,#N/A,FALSE,"K5";#N/A,#N/A,FALSE,"K4";#N/A,#N/A,FALSE,"K3";#N/A,#N/A,FALSE,"K2";#N/A,#N/A,FALSE,"K1"}</definedName>
    <definedName name="wrn.TAG." hidden="1">{"TAG1AGMS",#N/A,FALSE,"TAG 1A"}</definedName>
    <definedName name="wrn.Tages" hidden="1">{"Tages_D",#N/A,FALSE,"Tagesbericht";"Tages_PL",#N/A,FALSE,"Tagesbericht"}</definedName>
    <definedName name="wrn.Tagesbericht." hidden="1">{"Tages_D",#N/A,FALSE,"Tagesbericht";"Tages_PL",#N/A,FALSE,"Tagesbericht"}</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enancy._.Full._.cash._.Flow." hidden="1">{"tenancy detail",#N/A,FALSE,"Tenancies";"years1_2",#N/A,FALSE,"Tenancies";"years3_4",#N/A,FALSE,"Tenancies"}</definedName>
    <definedName name="wrn.test." hidden="1">{"F3 Presentation",#N/A,FALSE,"F3 ";"F3 detail",#N/A,FALSE,"F3 "}</definedName>
    <definedName name="wrn.test2." hidden="1">{"F3 detail",#N/A,FALSE,"F3 ";"F3 Presentation",#N/A,FALSE,"F3 "}</definedName>
    <definedName name="wrn.test3." hidden="1">{"F3 detail",#N/A,FALSE,"F1";"F3 Presentation",#N/A,FALSE,"F3 "}</definedName>
    <definedName name="wrn.vd." hidden="1">{#N/A,#N/A,TRUE,"BT M200 da 10x20"}</definedName>
    <definedName name="wrn.WGR" hidden="1">{"fleisch",#N/A,FALSE,"WG HK";"food",#N/A,FALSE,"WG HK";"hartwaren",#N/A,FALSE,"WG HK";"weichwaren",#N/A,FALSE,"WG HK"}</definedName>
    <definedName name="wrn.WGRUPPEN." hidden="1">{"fleisch",#N/A,FALSE,"WG HK";"food",#N/A,FALSE,"WG HK";"hartwaren",#N/A,FALSE,"WG HK";"weichwaren",#N/A,FALSE,"WG HK"}</definedName>
    <definedName name="wrn.건설기계사업소._.상반기보고." hidden="1">{#N/A,#N/A,FALSE,"사업총괄";#N/A,#N/A,FALSE,"장비사업";#N/A,#N/A,FALSE,"철구사업";#N/A,#N/A,FALSE,"준설사업"}</definedName>
    <definedName name="wrn.교육청." hidden="1">{#N/A,#N/A,FALSE,"전력간선"}</definedName>
    <definedName name="wrn.교육청.1" hidden="1">{#N/A,#N/A,FALSE,"전력간선"}</definedName>
    <definedName name="wrn.구조2." hidden="1">{#N/A,#N/A,FALSE,"구조2"}</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부대1." hidden="1">{#N/A,#N/A,FALSE,"부대1"}</definedName>
    <definedName name="wrn.부대2." hidden="1">{#N/A,#N/A,FALSE,"부대2"}</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hidden="1">{#N/A,#N/A,FALSE,"속도"}</definedName>
    <definedName name="wrn.예상손익." hidden="1">{#N/A,#N/A,FALSE,"예상손익";#N/A,#N/A,FALSE,"관리분석";#N/A,#N/A,FALSE,"장비분석";#N/A,#N/A,FALSE,"준설분석";#N/A,#N/A,FALSE,"철구분석"}</definedName>
    <definedName name="wrn.이정표." hidden="1">{#N/A,#N/A,FALSE,"이정표"}</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f.report" hidden="1">{"Offgrid",#N/A,FALSE,"OFFGRID";"Region",#N/A,FALSE,"REGION";"Offgrid -2",#N/A,FALSE,"OFFGRID";"WTP",#N/A,FALSE,"WTP";"WTP -2",#N/A,FALSE,"WTP";"Project",#N/A,FALSE,"PROJECT";"Summary -2",#N/A,FALSE,"SUMMARY"}</definedName>
    <definedName name="WSWSA" hidden="1">{"'Sheet1'!$L$16"}</definedName>
    <definedName name="ww" localSheetId="2" hidden="1">Main.SAPF4Help()</definedName>
    <definedName name="ww" hidden="1">Main.SAPF4Help()</definedName>
    <definedName name="www" localSheetId="2" hidden="1">Main.SAPF4Help()</definedName>
    <definedName name="www" hidden="1">Main.SAPF4Help()</definedName>
    <definedName name="X">#REF!</definedName>
    <definedName name="x1pind">#REF!</definedName>
    <definedName name="x1pint">#REF!</definedName>
    <definedName name="x1ping">#REF!</definedName>
    <definedName name="XA">#REF!</definedName>
    <definedName name="XAY" hidden="1">{"'Sheet1'!$L$16"}</definedName>
    <definedName name="XCCT">0.5</definedName>
    <definedName name="xcfgdsg" hidden="1">{"'Sheet1'!$L$16"}</definedName>
    <definedName name="xd0.6">#REF!</definedName>
    <definedName name="xd1.3">#REF!</definedName>
    <definedName name="xd1.5">#REF!</definedName>
    <definedName name="XDKT" hidden="1">{"NGUYEN QUI THIEP - Personal View",#N/A,FALSE,"XDCB.HT.FUR."}</definedName>
    <definedName name="xfco">#REF!</definedName>
    <definedName name="xfco3p">#REF!</definedName>
    <definedName name="xfcotnc">#REF!</definedName>
    <definedName name="xfcotvl">#REF!</definedName>
    <definedName name="xfgjxfgj" hidden="1">{"'Sheet1'!$L$16"}</definedName>
    <definedName name="xfhs" hidden="1">#N/A</definedName>
    <definedName name="xgc100">#REF!</definedName>
    <definedName name="xgc150">#REF!</definedName>
    <definedName name="xgc200">#REF!</definedName>
    <definedName name="xh">#REF!</definedName>
    <definedName name="xhn">#REF!</definedName>
    <definedName name="xi">#REF!</definedName>
    <definedName name="xig">#REF!</definedName>
    <definedName name="xig1">#REF!</definedName>
    <definedName name="xig1p">#REF!</definedName>
    <definedName name="xig3p">#REF!</definedName>
    <definedName name="xignc3p">#REF!</definedName>
    <definedName name="xigvl3p">#REF!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nc3p">#REF!</definedName>
    <definedName name="xint1p">#REF!</definedName>
    <definedName name="xinvl3p">#REF!</definedName>
    <definedName name="xing1p">#REF!</definedName>
    <definedName name="xingnc1p">#REF!</definedName>
    <definedName name="xingvl1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l3p">#REF!</definedName>
    <definedName name="xk0.6">#REF!</definedName>
    <definedName name="xk1.3">#REF!</definedName>
    <definedName name="xk1.5">#REF!</definedName>
    <definedName name="xl">#REF!</definedName>
    <definedName name="xlc">#REF!</definedName>
    <definedName name="xld1.4">#REF!</definedName>
    <definedName name="xlk">#REF!</definedName>
    <definedName name="xlk1.4">#REF!</definedName>
    <definedName name="XLP">#REF!</definedName>
    <definedName name="xls" hidden="1">{"'Sheet1'!$L$16"}</definedName>
    <definedName name="xlttbninh" hidden="1">{"'Sheet1'!$L$16"}</definedName>
    <definedName name="xmcax">#REF!</definedName>
    <definedName name="xmp40">#REF!</definedName>
    <definedName name="xn">#REF!</definedName>
    <definedName name="xoa1" hidden="1">{"'Sheet1'!$L$16"}</definedName>
    <definedName name="xoanhapk">#REF!,#REF!</definedName>
    <definedName name="xoanhapl">#REF!,#REF!</definedName>
    <definedName name="xoaxuatk">#REF!</definedName>
    <definedName name="xoaxuatl">#REF!</definedName>
    <definedName name="xvxcvxc" hidden="1">{"'Sheet1'!$L$16"}</definedName>
    <definedName name="xxx" hidden="1">{"'Sheet1'!$L$16"}</definedName>
    <definedName name="Y" hidden="1">2015</definedName>
    <definedName name="year">#REF!</definedName>
    <definedName name="Yellow2000">#REF!</definedName>
    <definedName name="yeryt" hidden="1">{"'Sheet1'!$L$16"}</definedName>
    <definedName name="yhgjg" hidden="1">{"'Sheet1'!$L$16"}</definedName>
    <definedName name="YR0">#REF!</definedName>
    <definedName name="YRP">#REF!</definedName>
    <definedName name="yy">#REF!</definedName>
    <definedName name="Z">#REF!</definedName>
    <definedName name="Z_AE5C6502_0235_11D4_AE2A_080009061A5A_.wvu.PrintTitles" hidden="1">#REF!</definedName>
    <definedName name="Z_BAA28561_1CF7_11D4_B09F_0050DA8A5AC7_.wvu.PrintTitles" hidden="1">#REF!</definedName>
    <definedName name="zdfer" hidden="1">{"'Sheet1'!$L$16"}</definedName>
    <definedName name="zdyhdh" hidden="1">{"'Sheet1'!$L$16"}</definedName>
    <definedName name="zone">#REF!</definedName>
    <definedName name="ZUS">1.4815</definedName>
    <definedName name="zx" hidden="1">#REF!</definedName>
    <definedName name="ZXzX" hidden="1">{"'Sheet1'!$L$16"}</definedName>
    <definedName name="ZYX">#REF!</definedName>
    <definedName name="zz" hidden="1">{"'Sheet1'!$L$16"}</definedName>
    <definedName name="ZZZ">#REF!</definedName>
    <definedName name="zzzzz" hidden="1">{"TAG1AGMS",#N/A,FALSE,"TAG 1A"}</definedName>
    <definedName name="개요" hidden="1">#REF!</definedName>
    <definedName name="개요1" hidden="1">#REF!</definedName>
    <definedName name="개요2" hidden="1">#REF!</definedName>
    <definedName name="건축원가" hidden="1">#REF!</definedName>
    <definedName name="견적SHEET" hidden="1">{#N/A,#N/A,FALSE,"CCTV"}</definedName>
    <definedName name="공" hidden="1">{#N/A,#N/A,FALSE,"Sheet1"}</definedName>
    <definedName name="공사비" hidden="1">{#N/A,#N/A,FALSE,"전력간선"}</definedName>
    <definedName name="기계주차" hidden="1">{#N/A,#N/A,FALSE,"CCTV"}</definedName>
    <definedName name="김" hidden="1">#REF!</definedName>
    <definedName name="ㄴㄷㄹ" hidden="1">{#N/A,#N/A,FALSE,"Sheet1"}</definedName>
    <definedName name="ㄷㄳ" hidden="1">{#N/A,#N/A,FALSE,"Sheet1"}</definedName>
    <definedName name="단ㄱ" hidden="1">{#N/A,#N/A,FALSE,"전력간선"}</definedName>
    <definedName name="ㅁㄴㄹ" hidden="1">{#N/A,#N/A,FALSE,"전력간선"}</definedName>
    <definedName name="ㅁㄻ" hidden="1">{#N/A,#N/A,FALSE,"Sheet1"}</definedName>
    <definedName name="ㅁㅁㅁㅁㅁㅁ" hidden="1">#REF!</definedName>
    <definedName name="ㅁㅎㅁ" hidden="1">{#N/A,#N/A,FALSE,"Sheet1"}</definedName>
    <definedName name="ㅂㅂ" hidden="1">{#N/A,#N/A,FALSE,"표지"}</definedName>
    <definedName name="ㅂㅈ" hidden="1">{#N/A,#N/A,TRUE,"1";#N/A,#N/A,TRUE,"2";#N/A,#N/A,TRUE,"3";#N/A,#N/A,TRUE,"4";#N/A,#N/A,TRUE,"5";#N/A,#N/A,TRUE,"6";#N/A,#N/A,TRUE,"7"}</definedName>
    <definedName name="바붕" hidden="1">{#N/A,#N/A,FALSE,"전력간선"}</definedName>
    <definedName name="배기덕트공사" hidden="1">{#N/A,#N/A,FALSE,"CCTV"}</definedName>
    <definedName name="변경개요" hidden="1">#REF!</definedName>
    <definedName name="변경개요2" hidden="1">#REF!</definedName>
    <definedName name="변경후개요" hidden="1">#REF!</definedName>
    <definedName name="부대원본" hidden="1">{#N/A,#N/A,FALSE,"토공2"}</definedName>
    <definedName name="소ㅑ104" hidden="1">#REF!</definedName>
    <definedName name="ㅇㄴㄹ" hidden="1">{#N/A,#N/A,FALSE,"Sheet1"}</definedName>
    <definedName name="ㅇㄴㄿ" hidden="1">{#N/A,#N/A,FALSE,"CCTV"}</definedName>
    <definedName name="아싸" hidden="1">{#N/A,#N/A,FALSE,"CCTV"}</definedName>
    <definedName name="업체" hidden="1">#REF!</definedName>
    <definedName name="원남내역" hidden="1">#REF!</definedName>
    <definedName name="이릉" hidden="1">#REF!</definedName>
    <definedName name="이종훈" hidden="1">#REF!</definedName>
    <definedName name="자재단가근거" hidden="1">#REF!</definedName>
    <definedName name="전기산출" hidden="1">#REF!</definedName>
    <definedName name="전기산출내역" hidden="1">#REF!</definedName>
    <definedName name="조사가" hidden="1">#REF!</definedName>
    <definedName name="철근량" hidden="1">{#N/A,#N/A,FALSE,"전력간선"}</definedName>
    <definedName name="총공사비2" hidden="1">{#N/A,#N/A,FALSE,"전력간선"}</definedName>
    <definedName name="켐온건축" hidden="1">{#N/A,#N/A,FALSE,"CCTV"}</definedName>
    <definedName name="토목" hidden="1">{#N/A,#N/A,FALSE,"CCTV"}</definedName>
    <definedName name="碳粉充填机每周保养点检" hidden="1">{"'Sheet2'!$I$8"}</definedName>
  </definedNames>
  <calcPr calcId="191028" iterate="1" iterateCount="1000" iterateDelta="0.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6" i="4" l="1"/>
  <c r="E38" i="4"/>
  <c r="I37" i="4"/>
  <c r="E36" i="4"/>
  <c r="C37" i="1"/>
  <c r="H27" i="4"/>
  <c r="H25" i="4"/>
  <c r="C27" i="4"/>
  <c r="C26" i="4"/>
  <c r="C25" i="4"/>
  <c r="H24" i="4"/>
  <c r="I25" i="7"/>
  <c r="I25" i="8"/>
  <c r="C25" i="7"/>
  <c r="C24" i="7"/>
  <c r="C26" i="8"/>
  <c r="C25" i="8"/>
  <c r="C24" i="8"/>
  <c r="D12" i="8"/>
  <c r="I21" i="1"/>
  <c r="I23" i="1" s="1"/>
  <c r="I24" i="1" s="1"/>
  <c r="I26" i="1" s="1"/>
  <c r="I5" i="4"/>
  <c r="I11" i="7"/>
  <c r="I10" i="8"/>
  <c r="H21" i="1"/>
  <c r="H22" i="4" s="1"/>
  <c r="I46" i="4"/>
  <c r="E46" i="4" s="1"/>
  <c r="I36" i="7"/>
  <c r="I36" i="8"/>
  <c r="C49" i="4"/>
  <c r="C39" i="7"/>
  <c r="H28" i="4"/>
  <c r="C28" i="4"/>
  <c r="H27" i="7"/>
  <c r="C27" i="7"/>
  <c r="C26" i="7"/>
  <c r="C27" i="8"/>
  <c r="H27" i="8"/>
  <c r="H24" i="8"/>
  <c r="H23" i="8"/>
  <c r="C23" i="8"/>
  <c r="I8" i="8"/>
  <c r="I6" i="8"/>
  <c r="I5" i="8"/>
  <c r="C24" i="4"/>
  <c r="C23" i="7"/>
  <c r="I9" i="1"/>
  <c r="I9" i="4" s="1"/>
  <c r="I7" i="1"/>
  <c r="I7" i="4" s="1"/>
  <c r="H23" i="7"/>
  <c r="H24" i="7"/>
  <c r="H26" i="8"/>
  <c r="H26" i="7"/>
  <c r="H40" i="7"/>
  <c r="I8" i="7"/>
  <c r="I6" i="7"/>
  <c r="I5" i="7"/>
  <c r="I6" i="4"/>
  <c r="I8" i="4"/>
  <c r="B44" i="4"/>
  <c r="F50" i="4"/>
  <c r="D50" i="4"/>
  <c r="I27" i="1" l="1"/>
  <c r="I22" i="1" s="1"/>
  <c r="I7" i="8"/>
  <c r="I11" i="8"/>
  <c r="I7" i="7"/>
  <c r="H21" i="7"/>
  <c r="H21" i="8"/>
  <c r="I10" i="4"/>
  <c r="I10" i="7"/>
  <c r="I11" i="4"/>
  <c r="I14" i="1"/>
  <c r="I9" i="7"/>
  <c r="I13" i="7"/>
  <c r="I14" i="8"/>
  <c r="I15" i="8"/>
  <c r="I15" i="7"/>
  <c r="I13" i="8"/>
  <c r="I13" i="4"/>
  <c r="I16" i="1"/>
  <c r="I17" i="1" s="1"/>
  <c r="I9" i="8"/>
  <c r="I14" i="4" l="1"/>
  <c r="I15" i="4" s="1"/>
  <c r="I14" i="7"/>
  <c r="I21" i="7"/>
  <c r="N21" i="7" s="1"/>
  <c r="I17" i="7"/>
  <c r="I17" i="8"/>
  <c r="I16" i="7"/>
  <c r="I16" i="8"/>
  <c r="N13" i="4"/>
  <c r="I16" i="4"/>
  <c r="N16" i="4" s="1"/>
  <c r="I22" i="4"/>
  <c r="N22" i="4" s="1"/>
  <c r="I21" i="8"/>
  <c r="N21" i="8" s="1"/>
  <c r="N14" i="4" l="1"/>
  <c r="I23" i="8"/>
  <c r="I23" i="7"/>
  <c r="I24" i="7" s="1"/>
  <c r="I26" i="7" s="1"/>
  <c r="N15" i="4"/>
  <c r="I17" i="4"/>
  <c r="N17" i="4" s="1"/>
  <c r="I24" i="4"/>
  <c r="I25" i="4" l="1"/>
  <c r="N23" i="8"/>
  <c r="I24" i="8"/>
  <c r="I26" i="8" s="1"/>
  <c r="N24" i="8"/>
  <c r="N23" i="7"/>
  <c r="N24" i="7"/>
  <c r="I28" i="4"/>
  <c r="N28" i="4" s="1"/>
  <c r="I27" i="7"/>
  <c r="I27" i="8"/>
  <c r="N27" i="8" s="1"/>
  <c r="N24" i="4"/>
  <c r="I20" i="1"/>
  <c r="I28" i="1" s="1"/>
  <c r="N25" i="4" l="1"/>
  <c r="I27" i="4"/>
  <c r="N26" i="8"/>
  <c r="N26" i="7"/>
  <c r="I29" i="1"/>
  <c r="N27" i="7"/>
  <c r="N27" i="4" l="1"/>
  <c r="I23" i="4"/>
  <c r="N23" i="4" s="1"/>
  <c r="I29" i="4"/>
  <c r="I30" i="4" s="1"/>
  <c r="I28" i="7"/>
  <c r="I22" i="7"/>
  <c r="N22" i="7" s="1"/>
  <c r="I28" i="8"/>
  <c r="I22" i="8"/>
  <c r="N22" i="8" s="1"/>
  <c r="I31" i="1"/>
  <c r="I30" i="1"/>
  <c r="I21" i="4" l="1"/>
  <c r="I20" i="7"/>
  <c r="I29" i="7" s="1"/>
  <c r="K29" i="7" s="1"/>
  <c r="I20" i="8"/>
  <c r="I37" i="1"/>
  <c r="I36" i="1"/>
  <c r="I32" i="1"/>
  <c r="N20" i="7" l="1"/>
  <c r="I30" i="7"/>
  <c r="M30" i="7" s="1"/>
  <c r="N21" i="4"/>
  <c r="I39" i="4"/>
  <c r="I40" i="4"/>
  <c r="N20" i="8"/>
  <c r="I29" i="8"/>
  <c r="I32" i="8" s="1"/>
  <c r="K32" i="8" s="1"/>
  <c r="I30" i="8"/>
  <c r="K30" i="8" s="1"/>
  <c r="I38" i="1"/>
  <c r="H38" i="1" s="1"/>
  <c r="I32" i="7"/>
  <c r="K32" i="7" s="1"/>
  <c r="I31" i="7"/>
  <c r="M29" i="7"/>
  <c r="I42" i="4"/>
  <c r="I41" i="4" l="1"/>
  <c r="G49" i="4" s="1"/>
  <c r="K30" i="7"/>
  <c r="M31" i="7"/>
  <c r="K31" i="7"/>
  <c r="K29" i="8"/>
  <c r="I31" i="8"/>
  <c r="I37" i="8" s="1"/>
  <c r="L37" i="8" s="1"/>
  <c r="I41" i="8"/>
  <c r="I45" i="8"/>
  <c r="I44" i="8"/>
  <c r="I42" i="8"/>
  <c r="I33" i="8"/>
  <c r="I43" i="8"/>
  <c r="K31" i="8"/>
  <c r="I39" i="8"/>
  <c r="I40" i="8"/>
  <c r="G47" i="4"/>
  <c r="I43" i="4"/>
  <c r="G48" i="4"/>
  <c r="I38" i="7"/>
  <c r="I33" i="7"/>
  <c r="K33" i="7" s="1"/>
  <c r="I37" i="7"/>
  <c r="M37" i="7" s="1"/>
  <c r="M32" i="7"/>
  <c r="E47" i="4" l="1"/>
  <c r="E48" i="4"/>
  <c r="I48" i="4" s="1"/>
  <c r="I46" i="8"/>
  <c r="H46" i="8" s="1"/>
  <c r="H47" i="8" s="1"/>
  <c r="I38" i="8"/>
  <c r="I47" i="4"/>
  <c r="G50" i="4"/>
  <c r="I39" i="7"/>
  <c r="I40" i="7" s="1"/>
  <c r="M33" i="7"/>
  <c r="K33" i="8"/>
  <c r="E49" i="4" l="1"/>
  <c r="I49" i="4" s="1"/>
  <c r="I47" i="8"/>
  <c r="H49" i="4"/>
  <c r="I50" i="4"/>
  <c r="M47" i="4"/>
  <c r="H47" i="4"/>
  <c r="H48" i="4"/>
  <c r="E50" i="4" l="1"/>
  <c r="H50" i="4" l="1"/>
  <c r="I52" i="4"/>
</calcChain>
</file>

<file path=xl/sharedStrings.xml><?xml version="1.0" encoding="utf-8"?>
<sst xmlns="http://schemas.openxmlformats.org/spreadsheetml/2006/main" count="264" uniqueCount="102">
  <si>
    <t>PHIẾU TƯ VẤN TÍNH GIÁ CĂN HỘ
"IMPERIA SMART CITY" (THAM KHẢO)</t>
  </si>
  <si>
    <r>
      <rPr>
        <u/>
        <sz val="10"/>
        <color theme="1"/>
        <rFont val="Aptos"/>
        <family val="2"/>
      </rPr>
      <t>Lưu ý:</t>
    </r>
    <r>
      <rPr>
        <sz val="10"/>
        <color theme="1"/>
        <rFont val="Aptos"/>
        <family val="2"/>
      </rPr>
      <t xml:space="preserve">
-Phiếu tư vấn này chỉ mang tính chất tham khảo. Các thông tin dưới đây không phải là thông tin chính thức từ Chủ đầu tư và không có giá trị pháp lý. Vui lòng tham khảo kỹ thông tin về điều kiện áp dụng đối với từng chương trình ưu đãi, chiết khấu tại Chính sách bán hàng &amp; các văn bản liên quan.
- Mọi ưu đãi, chiết khấu chỉ được áp dụng khi Người Mua ký HĐMB &amp; thanh toán tương ứng theo Tiến độ thanh toán theo Chính sách bán hàng.</t>
    </r>
  </si>
  <si>
    <t>I</t>
  </si>
  <si>
    <t>THÔNG TIN CĂN HỘ</t>
  </si>
  <si>
    <t>Mã căn hộ</t>
  </si>
  <si>
    <t>Toà</t>
  </si>
  <si>
    <t>Tầng</t>
  </si>
  <si>
    <t>Căn số</t>
  </si>
  <si>
    <t>Diện tích thông thủy (m2)</t>
  </si>
  <si>
    <t>II</t>
  </si>
  <si>
    <t>GIÁ BÁN NIÊM YẾT</t>
  </si>
  <si>
    <t>Giá bán (chưa gồm VAT)</t>
  </si>
  <si>
    <t>Thuế VAT</t>
  </si>
  <si>
    <t>Giá bán (gồm VAT, chưa gồm KPBT)</t>
  </si>
  <si>
    <t>Kinh phí bảo trì</t>
  </si>
  <si>
    <t>Giá bán (gồm VAT và KPBT)</t>
  </si>
  <si>
    <t>III</t>
  </si>
  <si>
    <t xml:space="preserve">GIÁ BÁN SAU ƯU ĐÃI </t>
  </si>
  <si>
    <t>a</t>
  </si>
  <si>
    <t>Tiến độ thanh toán lựa chọn</t>
  </si>
  <si>
    <t>b</t>
  </si>
  <si>
    <t xml:space="preserve">        Thời hạn hỗ trợ</t>
  </si>
  <si>
    <t xml:space="preserve">        Lãi suất áp dụng trong thời gian hỗ trợ</t>
  </si>
  <si>
    <t xml:space="preserve">        Gốc vay tối đa được hỗ trợ lãi suất</t>
  </si>
  <si>
    <t>Giá bán sau ưu đãi (chưa gồm VAT)</t>
  </si>
  <si>
    <t>Giá bán sau ưu đãi (gồm VAT, chưa bao gồm KPBT)</t>
  </si>
  <si>
    <t>Giá bán sau ưu đãi (gồm VAT &amp; KPBT)</t>
  </si>
  <si>
    <t>ĐỢT</t>
  </si>
  <si>
    <t>Tiến độ thanh toán</t>
  </si>
  <si>
    <t>Người mua thanh toán</t>
  </si>
  <si>
    <t>Ngân hàng giải ngân</t>
  </si>
  <si>
    <t>Tổng Số tiền (VNĐ)</t>
  </si>
  <si>
    <t>Tổng cộng</t>
  </si>
  <si>
    <t>TIẾN ĐỘ THANH TOÁN HỢP ĐỒNG MUA BÁN ('HĐMB')</t>
  </si>
  <si>
    <t>ĐẶT CỌC</t>
  </si>
  <si>
    <t>Trong vòng 30 ngày kể từ ngày ký HĐMB</t>
  </si>
  <si>
    <t>Thanh toán sớm nhận Chiết khấu</t>
  </si>
  <si>
    <t>70% Giá trị Căn hộ trên HĐMB (gồm VAT, không gồm KPBT)</t>
  </si>
  <si>
    <t>IV</t>
  </si>
  <si>
    <t>&lt;&lt; Nhập mã căn</t>
  </si>
  <si>
    <t>&lt;&lt; Nhập giá bán chưa VAT</t>
  </si>
  <si>
    <t>&lt;&lt; Nhập giá bán gồm VAT, chưa KPBT</t>
  </si>
  <si>
    <t>Chiết khấu ưu đãi khác 3 (nếu có)</t>
  </si>
  <si>
    <t>&lt;&lt; Nhập theo CSBH</t>
  </si>
  <si>
    <t>c</t>
  </si>
  <si>
    <t>b.1 Chiết khấu ưu đãi theo CSBH</t>
  </si>
  <si>
    <t>Dự án</t>
  </si>
  <si>
    <t>&lt;&lt; Nhập diện tích thông thuỷ theo bảng hàng</t>
  </si>
  <si>
    <t>&lt;&lt; Nhập theo thông tin bảng hàng</t>
  </si>
  <si>
    <t>Loại căn</t>
  </si>
  <si>
    <t>&lt;&lt; Nhập ở sheet "TT Chuẩn", dữ liệu tự đồng bộ</t>
  </si>
  <si>
    <t>Chiết khấu ưu đãi</t>
  </si>
  <si>
    <r>
      <t xml:space="preserve">&lt;&lt; Nhập theo CSBH, </t>
    </r>
    <r>
      <rPr>
        <b/>
        <u/>
        <sz val="11"/>
        <color rgb="FFFF0000"/>
        <rFont val="Aptos Narrow"/>
        <family val="2"/>
        <scheme val="minor"/>
      </rPr>
      <t>số âm (-)</t>
    </r>
  </si>
  <si>
    <t>Ký HĐMB (Trong vòng 07 ngày làm việc kể từ ngày thanh toán đủ tiền đặt cọc)</t>
  </si>
  <si>
    <t>b.2 Chiết khấu ưu đãi theo lựa chọn tiến độ thanh toán thanh toán</t>
  </si>
  <si>
    <t>Tổng Chiết khấu ưu đãi</t>
  </si>
  <si>
    <t>Chiết khấu ưu đãi cho khách không nhận BLNH</t>
  </si>
  <si>
    <t>Khách lựa chọn BLNH</t>
  </si>
  <si>
    <t>N</t>
  </si>
  <si>
    <t>&lt;&lt; Chọn "Y" = nhận BLNH; Chọn "N" = từ chối BLNH</t>
  </si>
  <si>
    <t>&lt;&lt; Nhập % CK theo CSBH</t>
  </si>
  <si>
    <t>Chậm nhất vào ngày 15/12/2026</t>
  </si>
  <si>
    <t>Imperia Sky Park</t>
  </si>
  <si>
    <t>Chậm nhất vào ngày 15/06/2027</t>
  </si>
  <si>
    <t>Chậm nhất vào ngày 15/03/2027</t>
  </si>
  <si>
    <t>Chậm nhất vào ngày 15/09/2027</t>
  </si>
  <si>
    <t>Chậm nhất vào ngày 15/12/2027</t>
  </si>
  <si>
    <t>Chậm nhất vào ngày 15/03/2028</t>
  </si>
  <si>
    <t>Chậm nhất vào ngày 15/06/2028</t>
  </si>
  <si>
    <t>Bàn giao căn hộ (dự kiến tháng 9/2028)</t>
  </si>
  <si>
    <t>TIẾN ĐỘ THANH TOÁN THỎA THUẬN KÝ QUỸ ('TTKQ')</t>
  </si>
  <si>
    <t>Khi ký TTKQ</t>
  </si>
  <si>
    <t>Trong vòng 7 ngày kể từ ngày ký TTKQ</t>
  </si>
  <si>
    <t>Có ký TTKQ hay không?</t>
  </si>
  <si>
    <t>Y</t>
  </si>
  <si>
    <t>b.1 Chiết khấu ưu đãi theo CSKD / TTKQ</t>
  </si>
  <si>
    <t>Giá cơ sở (chưa gồm VAT)</t>
  </si>
  <si>
    <t>Giá cơ sở (gồm VAT, chưa bao gồm KPBT)</t>
  </si>
  <si>
    <t>Giá cơ sở (gồm VAT &amp; KPBT)</t>
  </si>
  <si>
    <r>
      <t xml:space="preserve">&lt;&lt; Nhập theo CSBH, </t>
    </r>
    <r>
      <rPr>
        <b/>
        <u/>
        <sz val="11"/>
        <color rgb="FFFF0000"/>
        <rFont val="Aptos Narrow"/>
        <family val="2"/>
        <scheme val="minor"/>
      </rPr>
      <t>số âm (-)</t>
    </r>
    <r>
      <rPr>
        <sz val="11"/>
        <color rgb="FFFF0000"/>
        <rFont val="Aptos Narrow"/>
        <family val="2"/>
        <scheme val="minor"/>
      </rPr>
      <t xml:space="preserve"> nếu là số tuyệt đối</t>
    </r>
  </si>
  <si>
    <t>&lt;&lt; Chọn "Y" = là có vào TTKQ, chọn N giai đoạn ko áp dụng TTKQ nữa</t>
  </si>
  <si>
    <t>Đóng thêm so với TTKQ</t>
  </si>
  <si>
    <t>b.2 Chiết khấu thanh toán của tiến độ</t>
  </si>
  <si>
    <t>Thanh toán chuẩn</t>
  </si>
  <si>
    <t>b.2 Chiết khấu ưu đãi theo lựa chọn tiến độ thanh toán thanh toán (nếu có)</t>
  </si>
  <si>
    <r>
      <rPr>
        <b/>
        <sz val="12"/>
        <color theme="1"/>
        <rFont val="Aptos Display"/>
        <family val="2"/>
        <scheme val="major"/>
      </rPr>
      <t>24 tháng</t>
    </r>
    <r>
      <rPr>
        <sz val="12"/>
        <color theme="1"/>
        <rFont val="Aptos Display"/>
        <family val="2"/>
        <scheme val="major"/>
      </rPr>
      <t xml:space="preserve"> kể từ ngày giải ngân đầu tiên</t>
    </r>
  </si>
  <si>
    <t>Quà tặng “Signature Privilege”</t>
  </si>
  <si>
    <t>HTLS 0% tối đa 70% GTCH trong 24 tháng</t>
  </si>
  <si>
    <t>TỔNG CHIẾT KHẤU ƯU ĐÃI</t>
  </si>
  <si>
    <t>Quà tặng “Elite Privilege”</t>
  </si>
  <si>
    <t>PHIẾU TƯ VẤN TÍNH GIÁ CĂN HỘ
"IMPERIA SKY PARK" (THAM KHẢO)</t>
  </si>
  <si>
    <t>S2.3108</t>
  </si>
  <si>
    <t>BÀN GIAO KHÔNG GIAN SÁNG TẠO</t>
  </si>
  <si>
    <t>Quà tặng “Frontage Privilege” - S3</t>
  </si>
  <si>
    <t>Quà tặng “An Phúc Phú Quý”- E1, S1, S2</t>
  </si>
  <si>
    <t>d.1</t>
  </si>
  <si>
    <t>d.2</t>
  </si>
  <si>
    <t>Ưu đãi nhận Hỗ trợ lãi suất 0%</t>
  </si>
  <si>
    <t>Lựa chọn 1</t>
  </si>
  <si>
    <t xml:space="preserve">        Gốc vay tối đa được hỗ trợ</t>
  </si>
  <si>
    <t>Ưu đãi bảo đảm lãi suất (nếu có)</t>
  </si>
  <si>
    <t>Điều chỉnh Tăng giá theo tiến độ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</si>
</sst>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43" formatCode="_-* #,##0.00_-;\-* #,##0.00_-;_-* &quot;-&quot;??_-;_-@_-"/>
    <numFmt numFmtId="164" formatCode="_(* #,##0.00_);_(* \(#,##0.00\);_(* &quot;-&quot;??_);_(@_)"/>
    <numFmt numFmtId="165" formatCode="_(* #,##0_);_(* \(#,##0\);_(* &quot;-&quot;??_);_(@_)"/>
    <numFmt numFmtId="166" formatCode="0.0%"/>
    <numFmt numFmtId="167" formatCode="_-* #,##0.0\ _₫_-;\-* #,##0.0\ _₫_-;_-* &quot;-&quot;?\ _₫_-;_-@_-"/>
  </numFmts>
  <fonts count="30">
    <font>
      <sz val="11"/>
      <color theme="1"/>
      <name val="Aptos Narrow"/>
      <family val="2"/>
      <scheme val="minor"/>
    </font>
    <font>
      <sz val="11"/>
      <color theme="1"/>
      <name val="Aptos Narrow"/>
      <family val="2"/>
      <scheme val="minor"/>
    </font>
    <font>
      <sz val="11"/>
      <color rgb="FFFF0000"/>
      <name val="Aptos Narrow"/>
      <family val="2"/>
      <scheme val="minor"/>
    </font>
    <font>
      <sz val="12"/>
      <color theme="1"/>
      <name val="Aptos Display"/>
      <family val="2"/>
      <scheme val="major"/>
    </font>
    <font>
      <b/>
      <sz val="16"/>
      <color theme="1"/>
      <name val="Aptos"/>
      <family val="2"/>
    </font>
    <font>
      <sz val="10"/>
      <color theme="1"/>
      <name val="Aptos"/>
      <family val="2"/>
    </font>
    <font>
      <u/>
      <sz val="10"/>
      <color theme="1"/>
      <name val="Aptos"/>
      <family val="2"/>
    </font>
    <font>
      <b/>
      <sz val="12"/>
      <color theme="0"/>
      <name val="Aptos Display"/>
      <family val="2"/>
      <scheme val="major"/>
    </font>
    <font>
      <sz val="12"/>
      <color rgb="FF3F3F3F"/>
      <name val="Aptos Display"/>
      <family val="2"/>
      <scheme val="major"/>
    </font>
    <font>
      <b/>
      <sz val="12"/>
      <color theme="1"/>
      <name val="Aptos Display"/>
      <family val="2"/>
      <scheme val="major"/>
    </font>
    <font>
      <b/>
      <sz val="12"/>
      <color rgb="FF3F3F3F"/>
      <name val="Aptos Display"/>
      <family val="2"/>
      <scheme val="major"/>
    </font>
    <font>
      <b/>
      <sz val="12"/>
      <color rgb="FFFFFFFF"/>
      <name val="Aptos Display"/>
      <family val="2"/>
      <scheme val="major"/>
    </font>
    <font>
      <sz val="10"/>
      <color theme="1"/>
      <name val="Aptos Display"/>
      <family val="2"/>
      <scheme val="major"/>
    </font>
    <font>
      <sz val="11"/>
      <color rgb="FF3F3F3F"/>
      <name val="Aptos"/>
      <family val="2"/>
    </font>
    <font>
      <b/>
      <sz val="12"/>
      <color rgb="FF0070C0"/>
      <name val="Aptos Display"/>
      <family val="2"/>
      <scheme val="major"/>
    </font>
    <font>
      <sz val="13"/>
      <color theme="1"/>
      <name val="Times New Roman"/>
      <family val="2"/>
      <charset val="163"/>
    </font>
    <font>
      <sz val="10"/>
      <name val="Arial"/>
      <family val="2"/>
    </font>
    <font>
      <b/>
      <sz val="10"/>
      <color rgb="FFFF0000"/>
      <name val="Aptos Display"/>
      <family val="2"/>
      <scheme val="major"/>
    </font>
    <font>
      <b/>
      <u/>
      <sz val="11"/>
      <color rgb="FFFF0000"/>
      <name val="Aptos Narrow"/>
      <family val="2"/>
      <scheme val="minor"/>
    </font>
    <font>
      <sz val="11"/>
      <color rgb="FF002060"/>
      <name val="Aptos Narrow"/>
      <family val="2"/>
      <scheme val="minor"/>
    </font>
    <font>
      <i/>
      <sz val="12"/>
      <color rgb="FF3F3F3F"/>
      <name val="Aptos Display"/>
      <family val="2"/>
      <scheme val="major"/>
    </font>
    <font>
      <i/>
      <sz val="12"/>
      <color theme="1"/>
      <name val="Aptos Display"/>
      <family val="2"/>
      <charset val="163"/>
      <scheme val="major"/>
    </font>
    <font>
      <i/>
      <sz val="12"/>
      <color rgb="FF3F3F3F"/>
      <name val="Aptos Display"/>
      <family val="2"/>
      <charset val="163"/>
      <scheme val="major"/>
    </font>
    <font>
      <b/>
      <i/>
      <sz val="10"/>
      <color rgb="FFFF0000"/>
      <name val="Aptos Display"/>
      <family val="2"/>
      <charset val="163"/>
      <scheme val="major"/>
    </font>
    <font>
      <i/>
      <sz val="11"/>
      <color rgb="FFFF0000"/>
      <name val="Aptos Narrow"/>
      <family val="2"/>
      <charset val="163"/>
      <scheme val="minor"/>
    </font>
    <font>
      <i/>
      <sz val="11"/>
      <color theme="1"/>
      <name val="Aptos Narrow"/>
      <family val="2"/>
      <charset val="163"/>
      <scheme val="minor"/>
    </font>
    <font>
      <b/>
      <sz val="12"/>
      <color rgb="FFFF0000"/>
      <name val="Aptos Display"/>
      <family val="2"/>
      <scheme val="major"/>
    </font>
    <font>
      <i/>
      <sz val="12"/>
      <color theme="1"/>
      <name val="Aptos Display"/>
      <family val="2"/>
      <scheme val="major"/>
    </font>
    <font>
      <i/>
      <sz val="10"/>
      <color rgb="FFFF0000"/>
      <name val="Aptos Display"/>
      <family val="2"/>
      <charset val="163"/>
      <scheme val="major"/>
    </font>
    <font>
      <i/>
      <sz val="11"/>
      <color rgb="FF002060"/>
      <name val="Aptos Narrow"/>
      <family val="2"/>
      <charset val="163"/>
      <scheme val="minor"/>
    </font>
  </fonts>
  <fills count="20">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2F5496"/>
        <bgColor rgb="FF2F5496"/>
      </patternFill>
    </fill>
    <fill>
      <patternFill patternType="solid">
        <fgColor rgb="FFD9EAD3"/>
        <bgColor rgb="FFD9EAD3"/>
      </patternFill>
    </fill>
    <fill>
      <patternFill patternType="solid">
        <fgColor theme="9" tint="0.79998168889431442"/>
        <bgColor rgb="FFD9EAD3"/>
      </patternFill>
    </fill>
    <fill>
      <patternFill patternType="solid">
        <fgColor theme="0"/>
        <bgColor indexed="64"/>
      </patternFill>
    </fill>
    <fill>
      <patternFill patternType="solid">
        <fgColor rgb="FF833C0B"/>
        <bgColor rgb="FF833C0B"/>
      </patternFill>
    </fill>
    <fill>
      <patternFill patternType="solid">
        <fgColor rgb="FFD6DCE4"/>
        <bgColor rgb="FFD6DCE4"/>
      </patternFill>
    </fill>
    <fill>
      <patternFill patternType="solid">
        <fgColor rgb="FFD0CECE"/>
        <bgColor rgb="FFD0CECE"/>
      </patternFill>
    </fill>
    <fill>
      <patternFill patternType="solid">
        <fgColor rgb="FFFFF2CC"/>
        <bgColor rgb="FFFFF2CC"/>
      </patternFill>
    </fill>
    <fill>
      <patternFill patternType="solid">
        <fgColor rgb="FFFFFF00"/>
        <bgColor rgb="FFFBE4D5"/>
      </patternFill>
    </fill>
    <fill>
      <patternFill patternType="solid">
        <fgColor theme="0"/>
        <bgColor rgb="FFFBE4D5"/>
      </patternFill>
    </fill>
    <fill>
      <patternFill patternType="solid">
        <fgColor rgb="FFFFFF00"/>
        <bgColor rgb="FFD9EAD3"/>
      </patternFill>
    </fill>
    <fill>
      <patternFill patternType="solid">
        <fgColor theme="7" tint="0.79998168889431442"/>
        <bgColor rgb="FFD9EAD3"/>
      </patternFill>
    </fill>
    <fill>
      <patternFill patternType="solid">
        <fgColor rgb="FFFFFF00"/>
        <bgColor indexed="64"/>
      </patternFill>
    </fill>
    <fill>
      <patternFill patternType="solid">
        <fgColor theme="5" tint="0.79998168889431442"/>
        <bgColor rgb="FFD9EAD3"/>
      </patternFill>
    </fill>
    <fill>
      <patternFill patternType="solid">
        <fgColor theme="0" tint="-4.9989318521683403E-2"/>
        <bgColor rgb="FFD9EAD3"/>
      </patternFill>
    </fill>
    <fill>
      <patternFill patternType="solid">
        <fgColor theme="4" tint="0.79998168889431442"/>
        <bgColor rgb="FFD9EAD3"/>
      </patternFill>
    </fill>
  </fills>
  <borders count="4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hair">
        <color rgb="FFBFBFBF"/>
      </bottom>
      <diagonal/>
    </border>
    <border>
      <left/>
      <right/>
      <top/>
      <bottom style="hair">
        <color rgb="FFBFBFBF"/>
      </bottom>
      <diagonal/>
    </border>
    <border>
      <left/>
      <right style="thin">
        <color rgb="FF000000"/>
      </right>
      <top/>
      <bottom style="hair">
        <color rgb="FFBFBFBF"/>
      </bottom>
      <diagonal/>
    </border>
    <border>
      <left style="thin">
        <color rgb="FF000000"/>
      </left>
      <right/>
      <top style="hair">
        <color rgb="FFBFBFBF"/>
      </top>
      <bottom style="hair">
        <color rgb="FFBFBFBF"/>
      </bottom>
      <diagonal/>
    </border>
    <border>
      <left/>
      <right/>
      <top style="hair">
        <color rgb="FFBFBFBF"/>
      </top>
      <bottom style="hair">
        <color rgb="FFBFBFBF"/>
      </bottom>
      <diagonal/>
    </border>
    <border>
      <left/>
      <right style="thin">
        <color rgb="FF000000"/>
      </right>
      <top style="hair">
        <color rgb="FFBFBFBF"/>
      </top>
      <bottom style="hair">
        <color rgb="FFBFBFBF"/>
      </bottom>
      <diagonal/>
    </border>
    <border>
      <left style="thin">
        <color rgb="FF000000"/>
      </left>
      <right/>
      <top/>
      <bottom style="hair">
        <color rgb="FF7F7F7F"/>
      </bottom>
      <diagonal/>
    </border>
    <border>
      <left/>
      <right/>
      <top style="hair">
        <color rgb="FF7F7F7F"/>
      </top>
      <bottom style="hair">
        <color rgb="FF7F7F7F"/>
      </bottom>
      <diagonal/>
    </border>
    <border>
      <left/>
      <right/>
      <top/>
      <bottom style="hair">
        <color rgb="FF7F7F7F"/>
      </bottom>
      <diagonal/>
    </border>
    <border>
      <left style="thin">
        <color rgb="FF000000"/>
      </left>
      <right/>
      <top style="hair">
        <color rgb="FF7F7F7F"/>
      </top>
      <bottom style="hair">
        <color rgb="FF7F7F7F"/>
      </bottom>
      <diagonal/>
    </border>
    <border>
      <left/>
      <right style="thin">
        <color rgb="FF000000"/>
      </right>
      <top style="hair">
        <color rgb="FF7F7F7F"/>
      </top>
      <bottom style="hair">
        <color rgb="FF7F7F7F"/>
      </bottom>
      <diagonal/>
    </border>
    <border>
      <left style="thin">
        <color rgb="FF000000"/>
      </left>
      <right/>
      <top style="hair">
        <color rgb="FF7F7F7F"/>
      </top>
      <bottom style="thin">
        <color rgb="FF000000"/>
      </bottom>
      <diagonal/>
    </border>
    <border>
      <left/>
      <right/>
      <top style="hair">
        <color rgb="FF7F7F7F"/>
      </top>
      <bottom style="thin">
        <color rgb="FF000000"/>
      </bottom>
      <diagonal/>
    </border>
    <border>
      <left/>
      <right style="thin">
        <color rgb="FF000000"/>
      </right>
      <top style="hair">
        <color rgb="FF7F7F7F"/>
      </top>
      <bottom style="thin">
        <color rgb="FF000000"/>
      </bottom>
      <diagonal/>
    </border>
    <border>
      <left/>
      <right style="thin">
        <color rgb="FF000000"/>
      </right>
      <top/>
      <bottom style="hair">
        <color rgb="FF7F7F7F"/>
      </bottom>
      <diagonal/>
    </border>
    <border>
      <left/>
      <right/>
      <top style="hair">
        <color rgb="FF7F7F7F"/>
      </top>
      <bottom/>
      <diagonal/>
    </border>
    <border>
      <left/>
      <right style="thin">
        <color rgb="FF000000"/>
      </right>
      <top style="hair">
        <color rgb="FF7F7F7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hair">
        <color theme="1" tint="0.499984740745262"/>
      </bottom>
      <diagonal/>
    </border>
    <border>
      <left/>
      <right/>
      <top style="thin">
        <color rgb="FF000000"/>
      </top>
      <bottom style="hair">
        <color theme="1" tint="0.499984740745262"/>
      </bottom>
      <diagonal/>
    </border>
    <border>
      <left/>
      <right style="thin">
        <color rgb="FF000000"/>
      </right>
      <top style="thin">
        <color rgb="FF000000"/>
      </top>
      <bottom style="hair">
        <color theme="1" tint="0.499984740745262"/>
      </bottom>
      <diagonal/>
    </border>
    <border>
      <left/>
      <right style="thin">
        <color rgb="FF000000"/>
      </right>
      <top/>
      <bottom/>
      <diagonal/>
    </border>
    <border>
      <left/>
      <right style="thin">
        <color indexed="64"/>
      </right>
      <top/>
      <bottom style="hair">
        <color rgb="FF7F7F7F"/>
      </bottom>
      <diagonal/>
    </border>
    <border>
      <left style="thin">
        <color rgb="FF000000"/>
      </left>
      <right/>
      <top/>
      <bottom/>
      <diagonal/>
    </border>
    <border>
      <left style="thin">
        <color indexed="64"/>
      </left>
      <right/>
      <top style="thin">
        <color indexed="64"/>
      </top>
      <bottom style="hair">
        <color rgb="FF7F7F7F"/>
      </bottom>
      <diagonal/>
    </border>
    <border>
      <left/>
      <right/>
      <top style="thin">
        <color indexed="64"/>
      </top>
      <bottom style="hair">
        <color rgb="FF7F7F7F"/>
      </bottom>
      <diagonal/>
    </border>
    <border>
      <left/>
      <right style="thin">
        <color indexed="64"/>
      </right>
      <top style="thin">
        <color indexed="64"/>
      </top>
      <bottom style="hair">
        <color rgb="FF7F7F7F"/>
      </bottom>
      <diagonal/>
    </border>
    <border>
      <left style="thin">
        <color indexed="64"/>
      </left>
      <right/>
      <top/>
      <bottom style="hair">
        <color rgb="FF7F7F7F"/>
      </bottom>
      <diagonal/>
    </border>
    <border>
      <left/>
      <right style="thin">
        <color indexed="64"/>
      </right>
      <top style="hair">
        <color rgb="FF7F7F7F"/>
      </top>
      <bottom style="hair">
        <color rgb="FF7F7F7F"/>
      </bottom>
      <diagonal/>
    </border>
    <border>
      <left style="thin">
        <color indexed="64"/>
      </left>
      <right/>
      <top style="hair">
        <color rgb="FF7F7F7F"/>
      </top>
      <bottom style="hair">
        <color rgb="FF7F7F7F"/>
      </bottom>
      <diagonal/>
    </border>
    <border>
      <left style="thin">
        <color indexed="64"/>
      </left>
      <right/>
      <top style="hair">
        <color rgb="FF7F7F7F"/>
      </top>
      <bottom style="thin">
        <color indexed="64"/>
      </bottom>
      <diagonal/>
    </border>
    <border>
      <left/>
      <right/>
      <top style="hair">
        <color rgb="FF7F7F7F"/>
      </top>
      <bottom style="thin">
        <color indexed="64"/>
      </bottom>
      <diagonal/>
    </border>
    <border>
      <left/>
      <right style="thin">
        <color indexed="64"/>
      </right>
      <top style="hair">
        <color rgb="FF7F7F7F"/>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5" fillId="0" borderId="0"/>
    <xf numFmtId="0" fontId="16" fillId="0" borderId="0"/>
    <xf numFmtId="43" fontId="1" fillId="0" borderId="0" applyFont="0" applyFill="0" applyBorder="0" applyAlignment="0" applyProtection="0"/>
    <xf numFmtId="41"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cellStyleXfs>
  <cellXfs count="182">
    <xf numFmtId="0" fontId="0" fillId="0" borderId="0" xfId="0"/>
    <xf numFmtId="0" fontId="3" fillId="2" borderId="0" xfId="0" applyFont="1" applyFill="1" applyAlignment="1">
      <alignment vertical="center"/>
    </xf>
    <xf numFmtId="0" fontId="4" fillId="2" borderId="0" xfId="0" applyFont="1" applyFill="1" applyAlignment="1">
      <alignment vertical="center" wrapText="1"/>
    </xf>
    <xf numFmtId="0" fontId="3" fillId="2" borderId="0" xfId="0" applyFont="1" applyFill="1" applyAlignment="1">
      <alignment horizontal="center" vertical="center"/>
    </xf>
    <xf numFmtId="0" fontId="7" fillId="4" borderId="1" xfId="0" applyFont="1" applyFill="1" applyBorder="1" applyAlignment="1">
      <alignment horizontal="center" vertical="center"/>
    </xf>
    <xf numFmtId="0" fontId="7" fillId="4" borderId="2" xfId="0" applyFont="1" applyFill="1" applyBorder="1" applyAlignment="1">
      <alignment vertical="center"/>
    </xf>
    <xf numFmtId="0" fontId="7" fillId="4" borderId="3" xfId="0" applyFont="1" applyFill="1" applyBorder="1" applyAlignment="1">
      <alignment vertical="center"/>
    </xf>
    <xf numFmtId="0" fontId="8" fillId="2" borderId="4" xfId="0" applyFont="1" applyFill="1" applyBorder="1" applyAlignment="1">
      <alignment horizontal="center" vertical="center"/>
    </xf>
    <xf numFmtId="0" fontId="8" fillId="2" borderId="5" xfId="0" applyFont="1" applyFill="1" applyBorder="1" applyAlignment="1">
      <alignment vertical="center"/>
    </xf>
    <xf numFmtId="0" fontId="3" fillId="2" borderId="5" xfId="0" applyFont="1" applyFill="1" applyBorder="1" applyAlignment="1">
      <alignment vertical="center"/>
    </xf>
    <xf numFmtId="0" fontId="8" fillId="2" borderId="7" xfId="0" applyFont="1" applyFill="1" applyBorder="1" applyAlignment="1">
      <alignment horizontal="center" vertical="center"/>
    </xf>
    <xf numFmtId="0" fontId="8" fillId="2" borderId="8" xfId="0" applyFont="1" applyFill="1" applyBorder="1" applyAlignment="1">
      <alignment vertical="center"/>
    </xf>
    <xf numFmtId="0" fontId="3" fillId="2" borderId="8" xfId="0" applyFont="1" applyFill="1" applyBorder="1" applyAlignment="1">
      <alignment vertical="center"/>
    </xf>
    <xf numFmtId="0" fontId="3" fillId="2" borderId="9" xfId="0" applyFont="1" applyFill="1" applyBorder="1" applyAlignment="1">
      <alignment horizontal="right" vertical="center"/>
    </xf>
    <xf numFmtId="0" fontId="8" fillId="2" borderId="10" xfId="0" applyFont="1" applyFill="1" applyBorder="1" applyAlignment="1">
      <alignment horizontal="center" vertical="center"/>
    </xf>
    <xf numFmtId="0" fontId="10" fillId="2" borderId="11" xfId="0" applyFont="1" applyFill="1" applyBorder="1" applyAlignment="1">
      <alignment vertical="center"/>
    </xf>
    <xf numFmtId="0" fontId="8" fillId="2" borderId="12" xfId="0" applyFont="1" applyFill="1" applyBorder="1" applyAlignment="1">
      <alignment vertical="center"/>
    </xf>
    <xf numFmtId="0" fontId="3" fillId="2" borderId="12" xfId="0" applyFont="1" applyFill="1" applyBorder="1" applyAlignment="1">
      <alignment vertical="center"/>
    </xf>
    <xf numFmtId="0" fontId="8" fillId="2" borderId="13" xfId="0" applyFont="1" applyFill="1" applyBorder="1" applyAlignment="1">
      <alignment horizontal="center" vertical="center"/>
    </xf>
    <xf numFmtId="0" fontId="8" fillId="2" borderId="11" xfId="0" applyFont="1" applyFill="1" applyBorder="1" applyAlignment="1">
      <alignment vertical="center"/>
    </xf>
    <xf numFmtId="0" fontId="3" fillId="2" borderId="11" xfId="0" applyFont="1" applyFill="1" applyBorder="1" applyAlignment="1">
      <alignment vertical="center"/>
    </xf>
    <xf numFmtId="165" fontId="3" fillId="2" borderId="14" xfId="1" applyNumberFormat="1" applyFont="1" applyFill="1" applyBorder="1" applyAlignment="1">
      <alignment vertical="center"/>
    </xf>
    <xf numFmtId="0" fontId="8" fillId="2" borderId="15" xfId="0" applyFont="1" applyFill="1" applyBorder="1" applyAlignment="1">
      <alignment horizontal="center" vertical="center"/>
    </xf>
    <xf numFmtId="0" fontId="10" fillId="2" borderId="16" xfId="0" applyFont="1" applyFill="1" applyBorder="1" applyAlignment="1">
      <alignment vertical="center"/>
    </xf>
    <xf numFmtId="0" fontId="8" fillId="2" borderId="16" xfId="0" applyFont="1" applyFill="1" applyBorder="1" applyAlignment="1">
      <alignment vertical="center"/>
    </xf>
    <xf numFmtId="0" fontId="3" fillId="2" borderId="16" xfId="0" applyFont="1" applyFill="1" applyBorder="1" applyAlignment="1">
      <alignment vertical="center"/>
    </xf>
    <xf numFmtId="165" fontId="9" fillId="0" borderId="17" xfId="1" applyNumberFormat="1" applyFont="1" applyBorder="1" applyAlignment="1">
      <alignment vertical="center"/>
    </xf>
    <xf numFmtId="0" fontId="11" fillId="4" borderId="1" xfId="0" applyFont="1" applyFill="1" applyBorder="1" applyAlignment="1">
      <alignment horizontal="center" vertical="center"/>
    </xf>
    <xf numFmtId="0" fontId="11" fillId="4" borderId="2" xfId="0" applyFont="1" applyFill="1" applyBorder="1" applyAlignment="1">
      <alignment vertical="center"/>
    </xf>
    <xf numFmtId="0" fontId="10" fillId="5" borderId="10" xfId="0" applyFont="1" applyFill="1" applyBorder="1" applyAlignment="1">
      <alignment horizontal="center" vertical="center"/>
    </xf>
    <xf numFmtId="0" fontId="10" fillId="5" borderId="12" xfId="0" applyFont="1" applyFill="1" applyBorder="1" applyAlignment="1">
      <alignment vertical="center"/>
    </xf>
    <xf numFmtId="0" fontId="8" fillId="5" borderId="12" xfId="0" applyFont="1" applyFill="1" applyBorder="1" applyAlignment="1">
      <alignment vertical="center"/>
    </xf>
    <xf numFmtId="165" fontId="9" fillId="5" borderId="18" xfId="0" applyNumberFormat="1" applyFont="1" applyFill="1" applyBorder="1" applyAlignment="1">
      <alignment vertical="center"/>
    </xf>
    <xf numFmtId="0" fontId="8" fillId="5" borderId="10" xfId="0" applyFont="1" applyFill="1" applyBorder="1" applyAlignment="1">
      <alignment horizontal="center" vertical="center"/>
    </xf>
    <xf numFmtId="165" fontId="3" fillId="5" borderId="12" xfId="0" applyNumberFormat="1" applyFont="1" applyFill="1" applyBorder="1" applyAlignment="1">
      <alignment vertical="center"/>
    </xf>
    <xf numFmtId="166" fontId="12" fillId="6" borderId="12" xfId="2" applyNumberFormat="1" applyFont="1" applyFill="1" applyBorder="1" applyAlignment="1">
      <alignment vertical="center"/>
    </xf>
    <xf numFmtId="0" fontId="10" fillId="2" borderId="12" xfId="0" applyFont="1" applyFill="1" applyBorder="1" applyAlignment="1">
      <alignment vertical="center"/>
    </xf>
    <xf numFmtId="165" fontId="9" fillId="2" borderId="18" xfId="0" applyNumberFormat="1" applyFont="1" applyFill="1" applyBorder="1" applyAlignment="1">
      <alignment vertical="center"/>
    </xf>
    <xf numFmtId="165" fontId="3" fillId="2" borderId="14" xfId="0" applyNumberFormat="1" applyFont="1" applyFill="1" applyBorder="1" applyAlignment="1">
      <alignment vertical="center"/>
    </xf>
    <xf numFmtId="165" fontId="9" fillId="2" borderId="14" xfId="0" applyNumberFormat="1" applyFont="1" applyFill="1" applyBorder="1" applyAlignment="1">
      <alignment vertical="center"/>
    </xf>
    <xf numFmtId="0" fontId="3" fillId="2" borderId="19" xfId="0" applyFont="1" applyFill="1" applyBorder="1" applyAlignment="1">
      <alignment vertical="center"/>
    </xf>
    <xf numFmtId="165" fontId="9" fillId="7" borderId="20" xfId="0" applyNumberFormat="1" applyFont="1" applyFill="1" applyBorder="1" applyAlignment="1">
      <alignment vertical="center"/>
    </xf>
    <xf numFmtId="0" fontId="11" fillId="8" borderId="1" xfId="0" applyFont="1" applyFill="1" applyBorder="1" applyAlignment="1">
      <alignment horizontal="center" vertical="center"/>
    </xf>
    <xf numFmtId="0" fontId="7" fillId="8" borderId="2" xfId="0" applyFont="1" applyFill="1" applyBorder="1" applyAlignment="1">
      <alignment vertical="center"/>
    </xf>
    <xf numFmtId="0" fontId="7" fillId="8" borderId="3" xfId="0" applyFont="1" applyFill="1" applyBorder="1" applyAlignment="1">
      <alignment vertical="center"/>
    </xf>
    <xf numFmtId="0" fontId="10" fillId="9" borderId="21" xfId="0" applyFont="1" applyFill="1" applyBorder="1" applyAlignment="1">
      <alignment vertical="center" wrapText="1"/>
    </xf>
    <xf numFmtId="0" fontId="8" fillId="2" borderId="21" xfId="0" applyFont="1" applyFill="1" applyBorder="1" applyAlignment="1">
      <alignment horizontal="center" vertical="center" wrapText="1"/>
    </xf>
    <xf numFmtId="166" fontId="3" fillId="2" borderId="22" xfId="0" applyNumberFormat="1" applyFont="1" applyFill="1" applyBorder="1" applyAlignment="1">
      <alignment horizontal="center" vertical="center"/>
    </xf>
    <xf numFmtId="165" fontId="3" fillId="2" borderId="2" xfId="0" applyNumberFormat="1" applyFont="1" applyFill="1" applyBorder="1" applyAlignment="1">
      <alignment vertical="center"/>
    </xf>
    <xf numFmtId="165" fontId="3" fillId="2" borderId="2" xfId="0" applyNumberFormat="1" applyFont="1" applyFill="1" applyBorder="1" applyAlignment="1">
      <alignment horizontal="right" vertical="center"/>
    </xf>
    <xf numFmtId="9" fontId="9" fillId="2" borderId="2" xfId="0" applyNumberFormat="1" applyFont="1" applyFill="1" applyBorder="1" applyAlignment="1">
      <alignment vertical="center"/>
    </xf>
    <xf numFmtId="165" fontId="9" fillId="2" borderId="3" xfId="0" applyNumberFormat="1" applyFont="1" applyFill="1" applyBorder="1" applyAlignment="1">
      <alignment vertical="center"/>
    </xf>
    <xf numFmtId="165" fontId="3" fillId="2" borderId="0" xfId="0" applyNumberFormat="1" applyFont="1" applyFill="1" applyAlignment="1">
      <alignment vertical="center"/>
    </xf>
    <xf numFmtId="0" fontId="13" fillId="2" borderId="21" xfId="0" applyFont="1" applyFill="1" applyBorder="1" applyAlignment="1">
      <alignment vertical="center"/>
    </xf>
    <xf numFmtId="166" fontId="3" fillId="10" borderId="22" xfId="0" applyNumberFormat="1" applyFont="1" applyFill="1" applyBorder="1" applyAlignment="1">
      <alignment vertical="center"/>
    </xf>
    <xf numFmtId="165" fontId="9" fillId="10" borderId="22" xfId="0" applyNumberFormat="1" applyFont="1" applyFill="1" applyBorder="1" applyAlignment="1">
      <alignment vertical="center"/>
    </xf>
    <xf numFmtId="9" fontId="9" fillId="10" borderId="22" xfId="0" applyNumberFormat="1" applyFont="1" applyFill="1" applyBorder="1" applyAlignment="1">
      <alignment vertical="center"/>
    </xf>
    <xf numFmtId="165" fontId="9" fillId="10" borderId="23" xfId="0" applyNumberFormat="1" applyFont="1" applyFill="1" applyBorder="1" applyAlignment="1">
      <alignment vertical="center"/>
    </xf>
    <xf numFmtId="0" fontId="8" fillId="11" borderId="21" xfId="0" applyFont="1" applyFill="1" applyBorder="1" applyAlignment="1">
      <alignment horizontal="left" vertical="center" wrapText="1"/>
    </xf>
    <xf numFmtId="0" fontId="10" fillId="11" borderId="21" xfId="0" applyFont="1" applyFill="1" applyBorder="1" applyAlignment="1">
      <alignment horizontal="left" vertical="center" wrapText="1"/>
    </xf>
    <xf numFmtId="9" fontId="3" fillId="11" borderId="2" xfId="0" applyNumberFormat="1" applyFont="1" applyFill="1" applyBorder="1" applyAlignment="1">
      <alignment vertical="center"/>
    </xf>
    <xf numFmtId="165" fontId="3" fillId="11" borderId="2" xfId="0" applyNumberFormat="1" applyFont="1" applyFill="1" applyBorder="1" applyAlignment="1">
      <alignment vertical="center"/>
    </xf>
    <xf numFmtId="165" fontId="3" fillId="11" borderId="2" xfId="0" applyNumberFormat="1" applyFont="1" applyFill="1" applyBorder="1" applyAlignment="1">
      <alignment horizontal="right" vertical="center"/>
    </xf>
    <xf numFmtId="9" fontId="9" fillId="11" borderId="2" xfId="0" applyNumberFormat="1" applyFont="1" applyFill="1" applyBorder="1" applyAlignment="1">
      <alignment vertical="center"/>
    </xf>
    <xf numFmtId="165" fontId="9" fillId="11" borderId="3" xfId="0" applyNumberFormat="1" applyFont="1" applyFill="1" applyBorder="1" applyAlignment="1">
      <alignment vertical="center"/>
    </xf>
    <xf numFmtId="0" fontId="13" fillId="2" borderId="25" xfId="0" applyFont="1" applyFill="1" applyBorder="1" applyAlignment="1">
      <alignment horizontal="left" vertical="center" wrapText="1"/>
    </xf>
    <xf numFmtId="166" fontId="3" fillId="2" borderId="26" xfId="0" applyNumberFormat="1" applyFont="1" applyFill="1" applyBorder="1" applyAlignment="1">
      <alignment horizontal="center" vertical="center"/>
    </xf>
    <xf numFmtId="165" fontId="3" fillId="2" borderId="26" xfId="0" applyNumberFormat="1" applyFont="1" applyFill="1" applyBorder="1" applyAlignment="1">
      <alignment vertical="center"/>
    </xf>
    <xf numFmtId="165" fontId="3" fillId="2" borderId="26" xfId="0" applyNumberFormat="1" applyFont="1" applyFill="1" applyBorder="1" applyAlignment="1">
      <alignment horizontal="right" vertical="center"/>
    </xf>
    <xf numFmtId="9" fontId="9" fillId="2" borderId="26" xfId="0" applyNumberFormat="1" applyFont="1" applyFill="1" applyBorder="1" applyAlignment="1">
      <alignment vertical="center"/>
    </xf>
    <xf numFmtId="165" fontId="9" fillId="2" borderId="27" xfId="0" applyNumberFormat="1" applyFont="1" applyFill="1" applyBorder="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9" fillId="0" borderId="0" xfId="0" applyFont="1" applyAlignment="1">
      <alignment horizontal="right" vertical="center"/>
    </xf>
    <xf numFmtId="165" fontId="9" fillId="0" borderId="0" xfId="0" applyNumberFormat="1" applyFont="1" applyAlignment="1">
      <alignment vertical="center"/>
    </xf>
    <xf numFmtId="0" fontId="9" fillId="0" borderId="0" xfId="0" applyFont="1" applyAlignment="1">
      <alignment vertical="center"/>
    </xf>
    <xf numFmtId="0" fontId="3" fillId="2" borderId="0" xfId="0" applyFont="1" applyFill="1" applyAlignment="1">
      <alignment vertical="top" wrapText="1"/>
    </xf>
    <xf numFmtId="0" fontId="3" fillId="0" borderId="0" xfId="0" applyFont="1"/>
    <xf numFmtId="165" fontId="9" fillId="12" borderId="6" xfId="1" applyNumberFormat="1" applyFont="1" applyFill="1" applyBorder="1" applyAlignment="1">
      <alignment horizontal="right" vertical="center"/>
    </xf>
    <xf numFmtId="0" fontId="2" fillId="0" borderId="0" xfId="0" applyFont="1"/>
    <xf numFmtId="0" fontId="9" fillId="12" borderId="6" xfId="0" applyFont="1" applyFill="1" applyBorder="1" applyAlignment="1">
      <alignment horizontal="right" vertical="center"/>
    </xf>
    <xf numFmtId="165" fontId="14" fillId="5" borderId="18" xfId="0" applyNumberFormat="1" applyFont="1" applyFill="1" applyBorder="1" applyAlignment="1">
      <alignment horizontal="right" vertical="center"/>
    </xf>
    <xf numFmtId="0" fontId="8" fillId="2" borderId="24" xfId="0" applyFont="1" applyFill="1" applyBorder="1" applyAlignment="1">
      <alignment horizontal="center" vertical="center" wrapText="1"/>
    </xf>
    <xf numFmtId="165" fontId="3" fillId="5" borderId="18" xfId="0" applyNumberFormat="1" applyFont="1" applyFill="1" applyBorder="1" applyAlignment="1">
      <alignment vertical="center"/>
    </xf>
    <xf numFmtId="0" fontId="8" fillId="5" borderId="12" xfId="0" applyFont="1" applyFill="1" applyBorder="1" applyAlignment="1">
      <alignment horizontal="left" vertical="center" indent="5"/>
    </xf>
    <xf numFmtId="165" fontId="9" fillId="5" borderId="14" xfId="0" applyNumberFormat="1" applyFont="1" applyFill="1" applyBorder="1" applyAlignment="1">
      <alignment vertical="center"/>
    </xf>
    <xf numFmtId="0" fontId="8" fillId="2" borderId="0" xfId="0" applyFont="1" applyFill="1" applyAlignment="1">
      <alignment vertical="center"/>
    </xf>
    <xf numFmtId="0" fontId="9" fillId="13" borderId="6" xfId="0" applyFont="1" applyFill="1" applyBorder="1" applyAlignment="1">
      <alignment horizontal="right" vertical="center"/>
    </xf>
    <xf numFmtId="0" fontId="9" fillId="13" borderId="28" xfId="0" applyFont="1" applyFill="1" applyBorder="1" applyAlignment="1">
      <alignment horizontal="right" vertical="center"/>
    </xf>
    <xf numFmtId="165" fontId="9" fillId="13" borderId="6" xfId="1" applyNumberFormat="1" applyFont="1" applyFill="1" applyBorder="1" applyAlignment="1">
      <alignment horizontal="right" vertical="center"/>
    </xf>
    <xf numFmtId="165" fontId="9" fillId="7" borderId="17" xfId="1" applyNumberFormat="1" applyFont="1" applyFill="1" applyBorder="1" applyAlignment="1">
      <alignment vertical="center"/>
    </xf>
    <xf numFmtId="165" fontId="9" fillId="6" borderId="14" xfId="0" applyNumberFormat="1" applyFont="1" applyFill="1" applyBorder="1" applyAlignment="1">
      <alignment vertical="center"/>
    </xf>
    <xf numFmtId="0" fontId="8" fillId="6" borderId="12" xfId="0" applyFont="1" applyFill="1" applyBorder="1" applyAlignment="1">
      <alignment vertical="center"/>
    </xf>
    <xf numFmtId="0" fontId="10" fillId="6" borderId="10" xfId="0" applyFont="1" applyFill="1" applyBorder="1" applyAlignment="1">
      <alignment horizontal="center" vertical="center"/>
    </xf>
    <xf numFmtId="0" fontId="10" fillId="6" borderId="12" xfId="0" applyFont="1" applyFill="1" applyBorder="1" applyAlignment="1">
      <alignment vertical="center"/>
    </xf>
    <xf numFmtId="165" fontId="9" fillId="6" borderId="18" xfId="0" applyNumberFormat="1" applyFont="1" applyFill="1" applyBorder="1" applyAlignment="1">
      <alignment vertical="center"/>
    </xf>
    <xf numFmtId="0" fontId="8" fillId="6" borderId="10" xfId="0" applyFont="1" applyFill="1" applyBorder="1" applyAlignment="1">
      <alignment horizontal="center" vertical="center"/>
    </xf>
    <xf numFmtId="165" fontId="3" fillId="6" borderId="12" xfId="0" applyNumberFormat="1" applyFont="1" applyFill="1" applyBorder="1" applyAlignment="1">
      <alignment vertical="center"/>
    </xf>
    <xf numFmtId="0" fontId="8" fillId="6" borderId="12" xfId="0" applyFont="1" applyFill="1" applyBorder="1" applyAlignment="1">
      <alignment horizontal="left" vertical="center" indent="5"/>
    </xf>
    <xf numFmtId="0" fontId="19" fillId="0" borderId="0" xfId="0" applyFont="1"/>
    <xf numFmtId="166" fontId="3" fillId="6" borderId="12" xfId="0" applyNumberFormat="1" applyFont="1" applyFill="1" applyBorder="1" applyAlignment="1">
      <alignment horizontal="center" vertical="center"/>
    </xf>
    <xf numFmtId="165" fontId="3" fillId="0" borderId="0" xfId="0" applyNumberFormat="1" applyFont="1" applyAlignment="1">
      <alignment vertical="center"/>
    </xf>
    <xf numFmtId="0" fontId="20" fillId="5" borderId="12" xfId="0" applyFont="1" applyFill="1" applyBorder="1" applyAlignment="1">
      <alignment vertical="center"/>
    </xf>
    <xf numFmtId="0" fontId="8" fillId="5" borderId="12" xfId="0" applyFont="1" applyFill="1" applyBorder="1" applyAlignment="1">
      <alignment horizontal="right" vertical="center"/>
    </xf>
    <xf numFmtId="0" fontId="8" fillId="14" borderId="12" xfId="0" applyFont="1" applyFill="1" applyBorder="1" applyAlignment="1">
      <alignment horizontal="center" vertical="center"/>
    </xf>
    <xf numFmtId="166" fontId="0" fillId="0" borderId="0" xfId="2" applyNumberFormat="1" applyFont="1"/>
    <xf numFmtId="10" fontId="0" fillId="0" borderId="0" xfId="2" applyNumberFormat="1" applyFont="1"/>
    <xf numFmtId="165" fontId="0" fillId="0" borderId="0" xfId="0" applyNumberFormat="1"/>
    <xf numFmtId="167" fontId="0" fillId="0" borderId="0" xfId="0" applyNumberFormat="1"/>
    <xf numFmtId="41" fontId="0" fillId="0" borderId="0" xfId="6" applyFont="1"/>
    <xf numFmtId="41" fontId="0" fillId="0" borderId="0" xfId="0" applyNumberFormat="1"/>
    <xf numFmtId="166" fontId="17" fillId="15" borderId="12" xfId="2" applyNumberFormat="1" applyFont="1" applyFill="1" applyBorder="1" applyAlignment="1">
      <alignment vertical="center"/>
    </xf>
    <xf numFmtId="166" fontId="12" fillId="15" borderId="12" xfId="2" applyNumberFormat="1" applyFont="1" applyFill="1" applyBorder="1" applyAlignment="1">
      <alignment vertical="center"/>
    </xf>
    <xf numFmtId="0" fontId="3" fillId="2" borderId="9" xfId="0" quotePrefix="1" applyFont="1" applyFill="1" applyBorder="1" applyAlignment="1">
      <alignment horizontal="right" vertical="center"/>
    </xf>
    <xf numFmtId="0" fontId="21" fillId="2" borderId="0" xfId="0" applyFont="1" applyFill="1" applyAlignment="1">
      <alignment vertical="center"/>
    </xf>
    <xf numFmtId="0" fontId="22" fillId="5" borderId="10" xfId="0" applyFont="1" applyFill="1" applyBorder="1" applyAlignment="1">
      <alignment horizontal="center" vertical="center"/>
    </xf>
    <xf numFmtId="0" fontId="22" fillId="5" borderId="12" xfId="0" applyFont="1" applyFill="1" applyBorder="1" applyAlignment="1">
      <alignment vertical="center"/>
    </xf>
    <xf numFmtId="165" fontId="21" fillId="5" borderId="12" xfId="0" applyNumberFormat="1" applyFont="1" applyFill="1" applyBorder="1" applyAlignment="1">
      <alignment vertical="center"/>
    </xf>
    <xf numFmtId="166" fontId="23" fillId="15" borderId="12" xfId="2" applyNumberFormat="1" applyFont="1" applyFill="1" applyBorder="1" applyAlignment="1">
      <alignment vertical="center"/>
    </xf>
    <xf numFmtId="165" fontId="21" fillId="5" borderId="18" xfId="0" applyNumberFormat="1" applyFont="1" applyFill="1" applyBorder="1" applyAlignment="1">
      <alignment vertical="center"/>
    </xf>
    <xf numFmtId="0" fontId="24" fillId="0" borderId="0" xfId="0" applyFont="1"/>
    <xf numFmtId="0" fontId="25" fillId="0" borderId="0" xfId="0" applyFont="1"/>
    <xf numFmtId="0" fontId="10" fillId="14" borderId="29" xfId="0" applyFont="1" applyFill="1" applyBorder="1" applyAlignment="1">
      <alignment horizontal="center" vertical="center"/>
    </xf>
    <xf numFmtId="0" fontId="8" fillId="2" borderId="11" xfId="0" applyFont="1" applyFill="1" applyBorder="1" applyAlignment="1">
      <alignment horizontal="left" vertical="center" indent="3"/>
    </xf>
    <xf numFmtId="165" fontId="0" fillId="16" borderId="0" xfId="1" applyNumberFormat="1" applyFont="1" applyFill="1"/>
    <xf numFmtId="0" fontId="0" fillId="0" borderId="0" xfId="0" applyAlignment="1">
      <alignment vertical="center"/>
    </xf>
    <xf numFmtId="165" fontId="0" fillId="16" borderId="0" xfId="1" applyNumberFormat="1" applyFont="1" applyFill="1" applyAlignment="1">
      <alignment vertical="center"/>
    </xf>
    <xf numFmtId="166" fontId="17" fillId="17" borderId="12" xfId="2" applyNumberFormat="1" applyFont="1" applyFill="1" applyBorder="1" applyAlignment="1">
      <alignment vertical="center"/>
    </xf>
    <xf numFmtId="165" fontId="27" fillId="6" borderId="12" xfId="0" applyNumberFormat="1" applyFont="1" applyFill="1" applyBorder="1" applyAlignment="1">
      <alignment vertical="center"/>
    </xf>
    <xf numFmtId="0" fontId="26" fillId="18" borderId="12" xfId="0" applyFont="1" applyFill="1" applyBorder="1" applyAlignment="1">
      <alignment vertical="center"/>
    </xf>
    <xf numFmtId="0" fontId="8" fillId="18" borderId="12" xfId="0" applyFont="1" applyFill="1" applyBorder="1" applyAlignment="1">
      <alignment vertical="center"/>
    </xf>
    <xf numFmtId="165" fontId="3" fillId="18" borderId="12" xfId="0" applyNumberFormat="1" applyFont="1" applyFill="1" applyBorder="1" applyAlignment="1">
      <alignment vertical="center"/>
    </xf>
    <xf numFmtId="0" fontId="11" fillId="8" borderId="30" xfId="0" applyFont="1" applyFill="1" applyBorder="1" applyAlignment="1">
      <alignment horizontal="center" vertical="center"/>
    </xf>
    <xf numFmtId="0" fontId="7" fillId="8" borderId="0" xfId="0" applyFont="1" applyFill="1" applyBorder="1" applyAlignment="1">
      <alignment vertical="center"/>
    </xf>
    <xf numFmtId="0" fontId="7" fillId="8" borderId="28" xfId="0" applyFont="1" applyFill="1" applyBorder="1" applyAlignment="1">
      <alignment vertical="center"/>
    </xf>
    <xf numFmtId="0" fontId="10" fillId="6" borderId="31" xfId="0" applyFont="1" applyFill="1" applyBorder="1" applyAlignment="1">
      <alignment horizontal="center" vertical="center"/>
    </xf>
    <xf numFmtId="0" fontId="10" fillId="6" borderId="32" xfId="0" applyFont="1" applyFill="1" applyBorder="1" applyAlignment="1">
      <alignment vertical="center"/>
    </xf>
    <xf numFmtId="0" fontId="8" fillId="6" borderId="32" xfId="0" applyFont="1" applyFill="1" applyBorder="1" applyAlignment="1">
      <alignment vertical="center"/>
    </xf>
    <xf numFmtId="165" fontId="14" fillId="6" borderId="33" xfId="0" applyNumberFormat="1" applyFont="1" applyFill="1" applyBorder="1" applyAlignment="1">
      <alignment horizontal="right" vertical="center"/>
    </xf>
    <xf numFmtId="0" fontId="10" fillId="6" borderId="34" xfId="0" applyFont="1" applyFill="1" applyBorder="1" applyAlignment="1">
      <alignment horizontal="center" vertical="center"/>
    </xf>
    <xf numFmtId="165" fontId="9" fillId="6" borderId="29" xfId="0" applyNumberFormat="1" applyFont="1" applyFill="1" applyBorder="1" applyAlignment="1">
      <alignment vertical="center"/>
    </xf>
    <xf numFmtId="165" fontId="9" fillId="5" borderId="29" xfId="0" applyNumberFormat="1" applyFont="1" applyFill="1" applyBorder="1" applyAlignment="1">
      <alignment vertical="center"/>
    </xf>
    <xf numFmtId="0" fontId="8" fillId="6" borderId="34" xfId="0" applyFont="1" applyFill="1" applyBorder="1" applyAlignment="1">
      <alignment horizontal="center" vertical="center"/>
    </xf>
    <xf numFmtId="165" fontId="9" fillId="6" borderId="35" xfId="0" applyNumberFormat="1" applyFont="1" applyFill="1" applyBorder="1" applyAlignment="1">
      <alignment vertical="center"/>
    </xf>
    <xf numFmtId="165" fontId="21" fillId="5" borderId="29" xfId="0" applyNumberFormat="1" applyFont="1" applyFill="1" applyBorder="1" applyAlignment="1">
      <alignment vertical="center"/>
    </xf>
    <xf numFmtId="165" fontId="3" fillId="5" borderId="29" xfId="0" applyNumberFormat="1" applyFont="1" applyFill="1" applyBorder="1" applyAlignment="1">
      <alignment vertical="center"/>
    </xf>
    <xf numFmtId="0" fontId="10" fillId="5" borderId="34" xfId="0" applyFont="1" applyFill="1" applyBorder="1" applyAlignment="1">
      <alignment horizontal="center" vertical="center"/>
    </xf>
    <xf numFmtId="0" fontId="8" fillId="2" borderId="34" xfId="0" applyFont="1" applyFill="1" applyBorder="1" applyAlignment="1">
      <alignment horizontal="center" vertical="center"/>
    </xf>
    <xf numFmtId="165" fontId="9" fillId="2" borderId="29" xfId="0" applyNumberFormat="1" applyFont="1" applyFill="1" applyBorder="1" applyAlignment="1">
      <alignment vertical="center"/>
    </xf>
    <xf numFmtId="0" fontId="8" fillId="2" borderId="36" xfId="0" applyFont="1" applyFill="1" applyBorder="1" applyAlignment="1">
      <alignment horizontal="center" vertical="center"/>
    </xf>
    <xf numFmtId="165" fontId="3" fillId="2" borderId="35" xfId="0" applyNumberFormat="1" applyFont="1" applyFill="1" applyBorder="1" applyAlignment="1">
      <alignment vertical="center"/>
    </xf>
    <xf numFmtId="165" fontId="9" fillId="2" borderId="35" xfId="0" applyNumberFormat="1" applyFont="1" applyFill="1" applyBorder="1" applyAlignment="1">
      <alignment vertical="center"/>
    </xf>
    <xf numFmtId="0" fontId="8" fillId="2" borderId="37" xfId="0" applyFont="1" applyFill="1" applyBorder="1" applyAlignment="1">
      <alignment horizontal="center" vertical="center"/>
    </xf>
    <xf numFmtId="0" fontId="10" fillId="2" borderId="38" xfId="0" applyFont="1" applyFill="1" applyBorder="1" applyAlignment="1">
      <alignment vertical="center"/>
    </xf>
    <xf numFmtId="0" fontId="8" fillId="2" borderId="38" xfId="0" applyFont="1" applyFill="1" applyBorder="1" applyAlignment="1">
      <alignment vertical="center"/>
    </xf>
    <xf numFmtId="0" fontId="3" fillId="2" borderId="38" xfId="0" applyFont="1" applyFill="1" applyBorder="1" applyAlignment="1">
      <alignment vertical="center"/>
    </xf>
    <xf numFmtId="165" fontId="9" fillId="7" borderId="39" xfId="0" applyNumberFormat="1" applyFont="1" applyFill="1" applyBorder="1" applyAlignment="1">
      <alignment vertical="center"/>
    </xf>
    <xf numFmtId="165" fontId="21" fillId="19" borderId="29" xfId="0" applyNumberFormat="1" applyFont="1" applyFill="1" applyBorder="1" applyAlignment="1">
      <alignment vertical="center"/>
    </xf>
    <xf numFmtId="165" fontId="21" fillId="19" borderId="18" xfId="0" applyNumberFormat="1" applyFont="1" applyFill="1" applyBorder="1" applyAlignment="1">
      <alignment vertical="center"/>
    </xf>
    <xf numFmtId="0" fontId="22" fillId="6" borderId="12" xfId="0" applyFont="1" applyFill="1" applyBorder="1" applyAlignment="1">
      <alignment horizontal="left" vertical="center" indent="5"/>
    </xf>
    <xf numFmtId="0" fontId="22" fillId="6" borderId="12" xfId="0" applyFont="1" applyFill="1" applyBorder="1" applyAlignment="1">
      <alignment vertical="center"/>
    </xf>
    <xf numFmtId="165" fontId="21" fillId="6" borderId="12" xfId="0" applyNumberFormat="1" applyFont="1" applyFill="1" applyBorder="1" applyAlignment="1">
      <alignment vertical="center"/>
    </xf>
    <xf numFmtId="166" fontId="28" fillId="15" borderId="12" xfId="2" applyNumberFormat="1" applyFont="1" applyFill="1" applyBorder="1" applyAlignment="1">
      <alignment vertical="center"/>
    </xf>
    <xf numFmtId="0" fontId="29" fillId="0" borderId="0" xfId="0" applyFont="1"/>
    <xf numFmtId="166" fontId="25" fillId="0" borderId="0" xfId="2" applyNumberFormat="1" applyFont="1"/>
    <xf numFmtId="165" fontId="25" fillId="0" borderId="0" xfId="0" applyNumberFormat="1" applyFont="1"/>
    <xf numFmtId="0" fontId="22" fillId="6" borderId="34" xfId="0" applyFont="1" applyFill="1" applyBorder="1" applyAlignment="1">
      <alignment horizontal="center" vertical="center"/>
    </xf>
    <xf numFmtId="165" fontId="21" fillId="6" borderId="35" xfId="0" applyNumberFormat="1" applyFont="1" applyFill="1" applyBorder="1" applyAlignment="1">
      <alignment vertical="center"/>
    </xf>
    <xf numFmtId="165" fontId="27" fillId="6" borderId="35" xfId="0" applyNumberFormat="1" applyFont="1" applyFill="1" applyBorder="1" applyAlignment="1">
      <alignment vertical="center"/>
    </xf>
    <xf numFmtId="0" fontId="26" fillId="18" borderId="34" xfId="0" applyFont="1" applyFill="1" applyBorder="1" applyAlignment="1">
      <alignment horizontal="center" vertical="center"/>
    </xf>
    <xf numFmtId="165" fontId="26" fillId="18" borderId="29" xfId="0" applyNumberFormat="1" applyFont="1" applyFill="1" applyBorder="1" applyAlignment="1">
      <alignment vertical="center"/>
    </xf>
    <xf numFmtId="9" fontId="3" fillId="6" borderId="29" xfId="0" applyNumberFormat="1" applyFont="1" applyFill="1" applyBorder="1" applyAlignment="1">
      <alignment horizontal="right" vertical="center"/>
    </xf>
    <xf numFmtId="165" fontId="14" fillId="17" borderId="29" xfId="0" applyNumberFormat="1" applyFont="1" applyFill="1" applyBorder="1" applyAlignment="1">
      <alignment horizontal="right" vertical="center"/>
    </xf>
    <xf numFmtId="0" fontId="9" fillId="10" borderId="21" xfId="0" applyFont="1" applyFill="1" applyBorder="1" applyAlignment="1">
      <alignment horizontal="center" vertical="center"/>
    </xf>
    <xf numFmtId="0" fontId="9" fillId="10" borderId="22" xfId="0" applyFont="1" applyFill="1" applyBorder="1" applyAlignment="1">
      <alignment horizontal="center" vertical="center"/>
    </xf>
    <xf numFmtId="0" fontId="4" fillId="2" borderId="0" xfId="0" applyFont="1" applyFill="1" applyAlignment="1">
      <alignment horizontal="center" vertical="center" wrapText="1"/>
    </xf>
    <xf numFmtId="0" fontId="5" fillId="3" borderId="0" xfId="0" applyFont="1" applyFill="1" applyAlignment="1">
      <alignment horizontal="left" vertical="center" wrapText="1"/>
    </xf>
    <xf numFmtId="0" fontId="10" fillId="9" borderId="22" xfId="0" applyFont="1" applyFill="1" applyBorder="1" applyAlignment="1">
      <alignment horizontal="center" vertical="center" wrapText="1"/>
    </xf>
    <xf numFmtId="0" fontId="10" fillId="9" borderId="22" xfId="0" applyFont="1" applyFill="1" applyBorder="1" applyAlignment="1">
      <alignment horizontal="right" vertical="center" wrapText="1"/>
    </xf>
    <xf numFmtId="0" fontId="10" fillId="9" borderId="23" xfId="0" applyFont="1" applyFill="1" applyBorder="1" applyAlignment="1">
      <alignment horizontal="right" vertical="center" wrapText="1"/>
    </xf>
    <xf numFmtId="165" fontId="3" fillId="6" borderId="11" xfId="0" applyNumberFormat="1" applyFont="1" applyFill="1" applyBorder="1" applyAlignment="1">
      <alignment horizontal="right" vertical="center"/>
    </xf>
    <xf numFmtId="165" fontId="3" fillId="6" borderId="35" xfId="0" applyNumberFormat="1" applyFont="1" applyFill="1" applyBorder="1" applyAlignment="1">
      <alignment horizontal="right" vertical="center"/>
    </xf>
  </cellXfs>
  <cellStyles count="9">
    <cellStyle name="Comma" xfId="1" builtinId="3"/>
    <cellStyle name="Comma [0]" xfId="6" builtinId="6"/>
    <cellStyle name="Comma 2" xfId="5" xr:uid="{6D10A6F0-655B-4CA6-966F-C7EB84C1FCD3}"/>
    <cellStyle name="Comma 2 2" xfId="8" xr:uid="{A8AC9C16-A251-436A-A0C6-5FA21DF9390D}"/>
    <cellStyle name="Comma 3 3" xfId="7" xr:uid="{280E9F3B-8210-4D99-89EA-87A73A31371B}"/>
    <cellStyle name="Normal" xfId="0" builtinId="0"/>
    <cellStyle name="Normal 4 3 3" xfId="3" xr:uid="{2C2614FF-34D8-40D5-A08F-274BF80F11FF}"/>
    <cellStyle name="Normal 4 4" xfId="4" xr:uid="{5FFB4B61-8D07-4B09-B953-72A3CE68D427}"/>
    <cellStyle name="Percent" xfId="2" builtinId="5"/>
  </cellStyles>
  <dxfs count="63">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font>
        <color theme="0"/>
      </font>
      <fill>
        <patternFill patternType="none"/>
      </fill>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font>
        <color theme="0"/>
      </font>
      <fill>
        <patternFill patternType="none"/>
      </fill>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font>
        <color theme="0"/>
      </font>
      <fill>
        <patternFill patternType="none"/>
      </fill>
    </dxf>
    <dxf>
      <numFmt numFmtId="168" formatCode=";;;"/>
    </dxf>
    <dxf>
      <numFmt numFmtId="168" formatCode=";;;"/>
    </dxf>
    <dxf>
      <numFmt numFmtId="168" formatCode=";;;"/>
    </dxf>
    <dxf>
      <numFmt numFmtId="168" formatCode=";;;"/>
    </dxf>
    <dxf>
      <numFmt numFmtId="168" formatCode=";;;"/>
    </dxf>
    <dxf>
      <numFmt numFmtId="168" formatCode=";;;"/>
    </dxf>
    <dxf>
      <font>
        <color theme="0"/>
      </font>
      <fill>
        <patternFill patternType="none"/>
      </fill>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font>
        <color theme="0"/>
      </font>
      <fill>
        <patternFill patternType="none"/>
      </fill>
    </dxf>
    <dxf>
      <numFmt numFmtId="168" formatCode=";;;"/>
    </dxf>
    <dxf>
      <numFmt numFmtId="168" formatCode=";;;"/>
    </dxf>
    <dxf>
      <numFmt numFmtId="168"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79E54-8B88-43CE-93BD-7CC6CB9422E7}">
  <sheetPr>
    <tabColor theme="7" tint="0.79998168889431442"/>
  </sheetPr>
  <dimension ref="A1:O908"/>
  <sheetViews>
    <sheetView topLeftCell="A10" zoomScaleNormal="100" workbookViewId="0">
      <selection activeCell="E44" sqref="E44"/>
    </sheetView>
  </sheetViews>
  <sheetFormatPr defaultRowHeight="15" outlineLevelRow="1"/>
  <cols>
    <col min="1" max="1" width="1.3984375" style="77" customWidth="1"/>
    <col min="2" max="2" width="7.09765625" style="77" customWidth="1"/>
    <col min="3" max="3" width="44.3984375" style="77" customWidth="1"/>
    <col min="4" max="4" width="7.3984375" style="77" customWidth="1"/>
    <col min="5" max="5" width="22.3984375" style="77" customWidth="1"/>
    <col min="6" max="6" width="8.09765625" style="77" bestFit="1" customWidth="1"/>
    <col min="7" max="7" width="2.8984375" style="77" customWidth="1"/>
    <col min="8" max="8" width="9" style="77" bestFit="1" customWidth="1"/>
    <col min="9" max="9" width="20.09765625" style="77" bestFit="1" customWidth="1"/>
    <col min="10" max="10" width="2.3984375" style="77" customWidth="1"/>
    <col min="11" max="11" width="32.3984375" bestFit="1" customWidth="1"/>
    <col min="12" max="15" width="15.3984375" bestFit="1" customWidth="1"/>
  </cols>
  <sheetData>
    <row r="1" spans="1:15" ht="50.4" customHeight="1">
      <c r="A1" s="1"/>
      <c r="B1" s="175" t="s">
        <v>90</v>
      </c>
      <c r="C1" s="175"/>
      <c r="D1" s="175"/>
      <c r="E1" s="175"/>
      <c r="F1" s="175"/>
      <c r="G1" s="175"/>
      <c r="H1" s="175"/>
      <c r="I1" s="175"/>
      <c r="J1" s="2"/>
    </row>
    <row r="2" spans="1:15" ht="64.349999999999994" customHeight="1">
      <c r="A2" s="1"/>
      <c r="B2" s="176" t="s">
        <v>1</v>
      </c>
      <c r="C2" s="176"/>
      <c r="D2" s="176"/>
      <c r="E2" s="176"/>
      <c r="F2" s="176"/>
      <c r="G2" s="176"/>
      <c r="H2" s="176"/>
      <c r="I2" s="176"/>
      <c r="J2" s="2"/>
      <c r="K2" s="109"/>
      <c r="L2" s="110"/>
    </row>
    <row r="3" spans="1:15">
      <c r="A3" s="1"/>
      <c r="B3" s="3"/>
      <c r="C3" s="1"/>
      <c r="D3" s="1"/>
      <c r="E3" s="1"/>
      <c r="F3" s="1"/>
      <c r="G3" s="1"/>
      <c r="H3" s="1"/>
      <c r="I3" s="1"/>
      <c r="J3" s="1"/>
    </row>
    <row r="4" spans="1:15" ht="15.6">
      <c r="A4" s="1"/>
      <c r="B4" s="4" t="s">
        <v>2</v>
      </c>
      <c r="C4" s="5" t="s">
        <v>3</v>
      </c>
      <c r="D4" s="5"/>
      <c r="E4" s="5"/>
      <c r="F4" s="5"/>
      <c r="G4" s="5"/>
      <c r="H4" s="5"/>
      <c r="I4" s="6"/>
      <c r="J4" s="1"/>
      <c r="L4" s="107"/>
      <c r="M4" s="107"/>
    </row>
    <row r="5" spans="1:15" ht="15.6">
      <c r="A5" s="1"/>
      <c r="B5" s="7">
        <v>1</v>
      </c>
      <c r="C5" s="8" t="s">
        <v>4</v>
      </c>
      <c r="D5" s="8"/>
      <c r="E5" s="8"/>
      <c r="F5" s="8"/>
      <c r="G5" s="8"/>
      <c r="H5" s="9"/>
      <c r="I5" s="80" t="s">
        <v>91</v>
      </c>
      <c r="J5" s="1"/>
      <c r="K5" s="79" t="s">
        <v>39</v>
      </c>
      <c r="M5" s="107"/>
    </row>
    <row r="6" spans="1:15">
      <c r="A6" s="1"/>
      <c r="B6" s="10">
        <v>2</v>
      </c>
      <c r="C6" s="11" t="s">
        <v>46</v>
      </c>
      <c r="D6" s="11"/>
      <c r="E6" s="11"/>
      <c r="F6" s="11"/>
      <c r="G6" s="11"/>
      <c r="H6" s="12"/>
      <c r="I6" s="13" t="s">
        <v>62</v>
      </c>
      <c r="J6" s="1"/>
    </row>
    <row r="7" spans="1:15">
      <c r="A7" s="1"/>
      <c r="B7" s="10">
        <v>3</v>
      </c>
      <c r="C7" s="11" t="s">
        <v>5</v>
      </c>
      <c r="D7" s="11"/>
      <c r="E7" s="11"/>
      <c r="F7" s="11"/>
      <c r="G7" s="11"/>
      <c r="H7" s="12"/>
      <c r="I7" s="13" t="str">
        <f>LEFT(I5,2)</f>
        <v>S2</v>
      </c>
      <c r="J7" s="1"/>
    </row>
    <row r="8" spans="1:15">
      <c r="A8" s="1"/>
      <c r="B8" s="10">
        <v>4</v>
      </c>
      <c r="C8" s="11" t="s">
        <v>6</v>
      </c>
      <c r="D8" s="11"/>
      <c r="E8" s="11"/>
      <c r="F8" s="11"/>
      <c r="G8" s="11"/>
      <c r="H8" s="12"/>
      <c r="I8" s="13">
        <v>12</v>
      </c>
      <c r="J8" s="1"/>
    </row>
    <row r="9" spans="1:15">
      <c r="A9" s="1"/>
      <c r="B9" s="10">
        <v>5</v>
      </c>
      <c r="C9" s="11" t="s">
        <v>7</v>
      </c>
      <c r="D9" s="11"/>
      <c r="E9" s="11"/>
      <c r="F9" s="11"/>
      <c r="G9" s="11"/>
      <c r="H9" s="12"/>
      <c r="I9" s="113" t="str">
        <f>RIGHT(I5,IF(OR(RIGHT(I5,1)="A",RIGHT(I5,1)="B"),3,2))</f>
        <v>08</v>
      </c>
      <c r="J9" s="1"/>
    </row>
    <row r="10" spans="1:15" ht="15.6">
      <c r="A10" s="1"/>
      <c r="B10" s="10">
        <v>6</v>
      </c>
      <c r="C10" s="11" t="s">
        <v>8</v>
      </c>
      <c r="D10" s="11"/>
      <c r="E10" s="11"/>
      <c r="F10" s="11"/>
      <c r="G10" s="11"/>
      <c r="H10" s="12"/>
      <c r="I10" s="80"/>
      <c r="J10" s="1"/>
      <c r="K10" s="79" t="s">
        <v>47</v>
      </c>
    </row>
    <row r="11" spans="1:15" ht="15.6">
      <c r="A11" s="1"/>
      <c r="B11" s="10">
        <v>7</v>
      </c>
      <c r="C11" s="11" t="s">
        <v>49</v>
      </c>
      <c r="D11" s="11"/>
      <c r="E11" s="11"/>
      <c r="F11" s="11"/>
      <c r="G11" s="11"/>
      <c r="H11" s="12"/>
      <c r="I11" s="80"/>
      <c r="J11" s="1"/>
      <c r="K11" s="79" t="s">
        <v>48</v>
      </c>
    </row>
    <row r="12" spans="1:15" ht="15.6">
      <c r="A12" s="1"/>
      <c r="B12" s="4" t="s">
        <v>9</v>
      </c>
      <c r="C12" s="5" t="s">
        <v>10</v>
      </c>
      <c r="D12" s="5"/>
      <c r="E12" s="5"/>
      <c r="F12" s="6" t="s">
        <v>92</v>
      </c>
      <c r="G12" s="5"/>
      <c r="H12" s="5"/>
      <c r="I12" s="6"/>
      <c r="J12" s="1"/>
    </row>
    <row r="13" spans="1:15" ht="15.6">
      <c r="A13" s="1"/>
      <c r="B13" s="14"/>
      <c r="C13" s="15" t="s">
        <v>11</v>
      </c>
      <c r="D13" s="16"/>
      <c r="E13" s="16"/>
      <c r="F13" s="16"/>
      <c r="G13" s="16"/>
      <c r="H13" s="17"/>
      <c r="I13" s="78">
        <v>9424447600</v>
      </c>
      <c r="J13" s="1"/>
      <c r="K13" s="79" t="s">
        <v>40</v>
      </c>
      <c r="M13" s="109"/>
    </row>
    <row r="14" spans="1:15">
      <c r="A14" s="1"/>
      <c r="B14" s="18"/>
      <c r="C14" s="19" t="s">
        <v>12</v>
      </c>
      <c r="D14" s="19"/>
      <c r="E14" s="19"/>
      <c r="F14" s="19"/>
      <c r="G14" s="19"/>
      <c r="H14" s="20"/>
      <c r="I14" s="21">
        <f>I15-I13</f>
        <v>942444760</v>
      </c>
      <c r="J14" s="1"/>
      <c r="M14" s="107"/>
      <c r="N14" s="107"/>
      <c r="O14" s="107"/>
    </row>
    <row r="15" spans="1:15" ht="15.6">
      <c r="A15" s="1"/>
      <c r="B15" s="18"/>
      <c r="C15" s="15" t="s">
        <v>13</v>
      </c>
      <c r="D15" s="19"/>
      <c r="E15" s="19"/>
      <c r="F15" s="19"/>
      <c r="G15" s="19"/>
      <c r="H15" s="20"/>
      <c r="I15" s="78">
        <v>10366892360</v>
      </c>
      <c r="J15" s="1"/>
      <c r="K15" s="79" t="s">
        <v>41</v>
      </c>
      <c r="O15" s="107"/>
    </row>
    <row r="16" spans="1:15">
      <c r="A16" s="1"/>
      <c r="B16" s="18"/>
      <c r="C16" s="19" t="s">
        <v>14</v>
      </c>
      <c r="D16" s="19"/>
      <c r="E16" s="19"/>
      <c r="F16" s="19"/>
      <c r="G16" s="19"/>
      <c r="H16" s="20"/>
      <c r="I16" s="21">
        <f>ROUND(2%*I13,0)</f>
        <v>188488952</v>
      </c>
      <c r="J16" s="1"/>
      <c r="O16" s="107"/>
    </row>
    <row r="17" spans="1:13" ht="15.6">
      <c r="A17" s="1"/>
      <c r="B17" s="22"/>
      <c r="C17" s="23" t="s">
        <v>15</v>
      </c>
      <c r="D17" s="24"/>
      <c r="E17" s="24"/>
      <c r="F17" s="24"/>
      <c r="G17" s="24"/>
      <c r="H17" s="25"/>
      <c r="I17" s="26">
        <f>I15+I16</f>
        <v>10555381312</v>
      </c>
      <c r="J17" s="1"/>
    </row>
    <row r="18" spans="1:13" ht="15.6">
      <c r="A18" s="1"/>
      <c r="B18" s="27" t="s">
        <v>16</v>
      </c>
      <c r="C18" s="28" t="s">
        <v>17</v>
      </c>
      <c r="D18" s="5"/>
      <c r="E18" s="5"/>
      <c r="F18" s="5"/>
      <c r="G18" s="5"/>
      <c r="H18" s="5"/>
      <c r="I18" s="6"/>
      <c r="J18" s="1"/>
    </row>
    <row r="19" spans="1:13" ht="15.6">
      <c r="A19" s="1"/>
      <c r="B19" s="29" t="s">
        <v>18</v>
      </c>
      <c r="C19" s="30" t="s">
        <v>73</v>
      </c>
      <c r="D19" s="31"/>
      <c r="E19" s="31"/>
      <c r="F19" s="31"/>
      <c r="G19" s="31"/>
      <c r="H19" s="31"/>
      <c r="I19" s="122" t="s">
        <v>74</v>
      </c>
      <c r="J19" s="1"/>
      <c r="K19" s="99" t="s">
        <v>80</v>
      </c>
    </row>
    <row r="20" spans="1:13" ht="15.6">
      <c r="A20" s="1"/>
      <c r="B20" s="29" t="s">
        <v>20</v>
      </c>
      <c r="C20" s="30" t="s">
        <v>55</v>
      </c>
      <c r="D20" s="31"/>
      <c r="E20" s="31"/>
      <c r="F20" s="31"/>
      <c r="G20" s="31"/>
      <c r="H20" s="31"/>
      <c r="I20" s="32">
        <f>I22+I21</f>
        <v>-435649670.19999999</v>
      </c>
      <c r="J20" s="1"/>
    </row>
    <row r="21" spans="1:13" ht="15.6">
      <c r="A21" s="1"/>
      <c r="B21" s="29"/>
      <c r="C21" s="102" t="s">
        <v>56</v>
      </c>
      <c r="D21" s="31"/>
      <c r="E21" s="103" t="s">
        <v>57</v>
      </c>
      <c r="F21" s="104" t="s">
        <v>58</v>
      </c>
      <c r="G21" s="31"/>
      <c r="H21" s="111">
        <f>IF(F21="N",0.7%,0%)</f>
        <v>6.9999999999999993E-3</v>
      </c>
      <c r="I21" s="32">
        <f>-H21*I13</f>
        <v>-65971133.199999996</v>
      </c>
      <c r="J21" s="1"/>
      <c r="K21" s="99" t="s">
        <v>59</v>
      </c>
    </row>
    <row r="22" spans="1:13" ht="15.6">
      <c r="A22" s="1"/>
      <c r="B22" s="33"/>
      <c r="C22" s="30" t="s">
        <v>75</v>
      </c>
      <c r="D22" s="31"/>
      <c r="E22" s="34"/>
      <c r="F22" s="34"/>
      <c r="G22" s="34"/>
      <c r="H22" s="31"/>
      <c r="I22" s="85">
        <f>SUM(I23:I27)</f>
        <v>-369678537</v>
      </c>
      <c r="J22" s="1"/>
      <c r="K22" s="79"/>
    </row>
    <row r="23" spans="1:13" ht="15.6">
      <c r="A23" s="1"/>
      <c r="B23" s="33"/>
      <c r="C23" s="84" t="s">
        <v>86</v>
      </c>
      <c r="D23" s="31"/>
      <c r="E23" s="34"/>
      <c r="F23" s="34"/>
      <c r="G23" s="34"/>
      <c r="H23" s="118">
        <v>0.02</v>
      </c>
      <c r="I23" s="119">
        <f>-ROUND(H23*SUM(I$13,$I$21),0)</f>
        <v>-187169529</v>
      </c>
      <c r="J23" s="1"/>
      <c r="K23" s="79" t="s">
        <v>79</v>
      </c>
    </row>
    <row r="24" spans="1:13" s="121" customFormat="1" ht="15.6">
      <c r="A24" s="114"/>
      <c r="B24" s="115"/>
      <c r="C24" s="84" t="s">
        <v>93</v>
      </c>
      <c r="D24" s="116"/>
      <c r="E24" s="117"/>
      <c r="F24" s="117"/>
      <c r="G24" s="117"/>
      <c r="H24" s="118">
        <v>0.01</v>
      </c>
      <c r="I24" s="119">
        <f>-ROUND(H24*SUM(I$13,I$23:I23,$I$21),0)</f>
        <v>-91713069</v>
      </c>
      <c r="J24" s="114"/>
      <c r="K24" s="79" t="s">
        <v>79</v>
      </c>
    </row>
    <row r="25" spans="1:13" s="121" customFormat="1" ht="15.6">
      <c r="A25" s="114"/>
      <c r="B25" s="115"/>
      <c r="C25" s="84" t="s">
        <v>94</v>
      </c>
      <c r="D25" s="116"/>
      <c r="E25" s="117"/>
      <c r="F25" s="117"/>
      <c r="G25" s="117"/>
      <c r="H25" s="117"/>
      <c r="I25" s="158"/>
      <c r="J25" s="114"/>
      <c r="K25" s="79" t="s">
        <v>79</v>
      </c>
    </row>
    <row r="26" spans="1:13" ht="15.6">
      <c r="A26" s="1"/>
      <c r="B26" s="33"/>
      <c r="C26" s="84" t="s">
        <v>89</v>
      </c>
      <c r="D26" s="31"/>
      <c r="E26" s="34"/>
      <c r="F26" s="34"/>
      <c r="G26" s="34"/>
      <c r="H26" s="118">
        <v>0.01</v>
      </c>
      <c r="I26" s="119">
        <f>-ROUND(H26*SUM(I$13,I$23:I25,$I$21),0)</f>
        <v>-90795939</v>
      </c>
      <c r="J26" s="1"/>
      <c r="K26" s="79" t="s">
        <v>79</v>
      </c>
    </row>
    <row r="27" spans="1:13" hidden="1" outlineLevel="1">
      <c r="A27" s="1"/>
      <c r="B27" s="33"/>
      <c r="C27" s="84" t="s">
        <v>42</v>
      </c>
      <c r="D27" s="31"/>
      <c r="E27" s="34"/>
      <c r="F27" s="34"/>
      <c r="G27" s="34"/>
      <c r="H27" s="118"/>
      <c r="I27" s="83">
        <f>-ROUND(H27*SUM(I$13,I$23:I26,$I$21),0)</f>
        <v>0</v>
      </c>
      <c r="J27" s="1"/>
      <c r="K27" s="79" t="s">
        <v>79</v>
      </c>
    </row>
    <row r="28" spans="1:13" ht="15.6" collapsed="1">
      <c r="A28" s="1"/>
      <c r="B28" s="14"/>
      <c r="C28" s="36" t="s">
        <v>76</v>
      </c>
      <c r="D28" s="16"/>
      <c r="E28" s="16"/>
      <c r="F28" s="16"/>
      <c r="G28" s="16"/>
      <c r="H28" s="17"/>
      <c r="I28" s="37">
        <f>I13+I20</f>
        <v>8988797929.7999992</v>
      </c>
      <c r="J28" s="1"/>
      <c r="M28" s="106"/>
    </row>
    <row r="29" spans="1:13">
      <c r="A29" s="1"/>
      <c r="B29" s="18"/>
      <c r="C29" s="123" t="s">
        <v>12</v>
      </c>
      <c r="D29" s="19"/>
      <c r="E29" s="19"/>
      <c r="F29" s="19"/>
      <c r="G29" s="19"/>
      <c r="H29" s="20"/>
      <c r="I29" s="38">
        <f>ROUND(I14+I20*10%,0)</f>
        <v>898879793</v>
      </c>
      <c r="J29" s="1"/>
      <c r="M29" s="106"/>
    </row>
    <row r="30" spans="1:13" ht="15.6">
      <c r="A30" s="1"/>
      <c r="B30" s="18"/>
      <c r="C30" s="15" t="s">
        <v>77</v>
      </c>
      <c r="D30" s="19"/>
      <c r="E30" s="19"/>
      <c r="F30" s="19"/>
      <c r="G30" s="19"/>
      <c r="H30" s="20"/>
      <c r="I30" s="39">
        <f>I28+I29</f>
        <v>9887677722.7999992</v>
      </c>
      <c r="J30" s="1"/>
      <c r="M30" s="106"/>
    </row>
    <row r="31" spans="1:13">
      <c r="A31" s="1"/>
      <c r="B31" s="18"/>
      <c r="C31" s="123" t="s">
        <v>14</v>
      </c>
      <c r="D31" s="19"/>
      <c r="E31" s="19"/>
      <c r="F31" s="19"/>
      <c r="G31" s="19"/>
      <c r="H31" s="20"/>
      <c r="I31" s="38">
        <f>ROUND(I28*2%,0)</f>
        <v>179775959</v>
      </c>
      <c r="J31" s="1"/>
      <c r="M31" s="106"/>
    </row>
    <row r="32" spans="1:13" ht="15.6">
      <c r="A32" s="1"/>
      <c r="B32" s="18"/>
      <c r="C32" s="15" t="s">
        <v>78</v>
      </c>
      <c r="D32" s="19"/>
      <c r="E32" s="19"/>
      <c r="F32" s="19"/>
      <c r="G32" s="19"/>
      <c r="H32" s="40"/>
      <c r="I32" s="41">
        <f>I30+I31</f>
        <v>10067453681.799999</v>
      </c>
      <c r="J32" s="1"/>
      <c r="M32" s="106"/>
    </row>
    <row r="33" spans="1:10" ht="15.6">
      <c r="A33" s="1"/>
      <c r="B33" s="42" t="s">
        <v>38</v>
      </c>
      <c r="C33" s="43" t="s">
        <v>70</v>
      </c>
      <c r="D33" s="43"/>
      <c r="E33" s="43"/>
      <c r="F33" s="43"/>
      <c r="G33" s="43"/>
      <c r="H33" s="43"/>
      <c r="I33" s="44"/>
      <c r="J33" s="1"/>
    </row>
    <row r="34" spans="1:10" ht="15.6">
      <c r="A34" s="1"/>
      <c r="B34" s="45" t="s">
        <v>27</v>
      </c>
      <c r="C34" s="45" t="s">
        <v>28</v>
      </c>
      <c r="D34" s="177"/>
      <c r="E34" s="177"/>
      <c r="F34" s="178"/>
      <c r="G34" s="178"/>
      <c r="H34" s="178" t="s">
        <v>31</v>
      </c>
      <c r="I34" s="179"/>
      <c r="J34" s="1"/>
    </row>
    <row r="35" spans="1:10" ht="15.6">
      <c r="A35" s="1"/>
      <c r="B35" s="82">
        <v>1</v>
      </c>
      <c r="C35" s="65" t="s">
        <v>71</v>
      </c>
      <c r="D35" s="66"/>
      <c r="E35" s="67"/>
      <c r="F35" s="66"/>
      <c r="G35" s="68"/>
      <c r="H35" s="69"/>
      <c r="I35" s="70">
        <v>100000000</v>
      </c>
      <c r="J35" s="52"/>
    </row>
    <row r="36" spans="1:10" ht="15.6">
      <c r="A36" s="1"/>
      <c r="B36" s="46">
        <v>2</v>
      </c>
      <c r="C36" s="53" t="s">
        <v>72</v>
      </c>
      <c r="D36" s="47"/>
      <c r="E36" s="48"/>
      <c r="F36" s="47"/>
      <c r="G36" s="49"/>
      <c r="H36" s="69">
        <v>0.1</v>
      </c>
      <c r="I36" s="51">
        <f>ROUND(H36*I$30,0)-I35</f>
        <v>888767772</v>
      </c>
      <c r="J36" s="1"/>
    </row>
    <row r="37" spans="1:10" ht="15.6">
      <c r="A37" s="1"/>
      <c r="B37" s="46">
        <v>3</v>
      </c>
      <c r="C37" s="53" t="str">
        <f>IF(F26="Y","Trong vòng 30 ngày kể từ ngày ký TTKQ","Chậm nhất vào ngày 15/07/2026")</f>
        <v>Chậm nhất vào ngày 15/07/2026</v>
      </c>
      <c r="D37" s="47"/>
      <c r="E37" s="48"/>
      <c r="F37" s="47"/>
      <c r="G37" s="49"/>
      <c r="H37" s="69">
        <v>0.05</v>
      </c>
      <c r="I37" s="51">
        <f t="shared" ref="I37" si="0">ROUND(H37*I$30,0)</f>
        <v>494383886</v>
      </c>
      <c r="J37" s="1"/>
    </row>
    <row r="38" spans="1:10" ht="15.6">
      <c r="A38" s="1"/>
      <c r="B38" s="173" t="s">
        <v>32</v>
      </c>
      <c r="C38" s="174"/>
      <c r="D38" s="54"/>
      <c r="E38" s="55"/>
      <c r="F38" s="54"/>
      <c r="G38" s="55"/>
      <c r="H38" s="56">
        <f>I38/I30</f>
        <v>0.14999999995752289</v>
      </c>
      <c r="I38" s="57">
        <f>SUM(I35:I37)</f>
        <v>1483151658</v>
      </c>
      <c r="J38" s="1"/>
    </row>
    <row r="39" spans="1:10">
      <c r="A39" s="71"/>
      <c r="B39" s="72"/>
      <c r="C39" s="71"/>
      <c r="D39" s="71"/>
      <c r="E39" s="71"/>
      <c r="F39" s="71"/>
      <c r="G39" s="71"/>
      <c r="H39" s="71"/>
      <c r="I39" s="101"/>
      <c r="J39" s="71"/>
    </row>
    <row r="40" spans="1:10" ht="15.6">
      <c r="A40" s="71"/>
      <c r="B40" s="72"/>
      <c r="C40" s="71"/>
      <c r="D40" s="71"/>
      <c r="E40" s="74"/>
      <c r="F40" s="71"/>
      <c r="G40" s="71"/>
      <c r="H40" s="71"/>
      <c r="I40" s="71"/>
      <c r="J40" s="71"/>
    </row>
    <row r="41" spans="1:10" ht="15.6">
      <c r="A41" s="71"/>
      <c r="B41" s="72"/>
      <c r="C41" s="71"/>
      <c r="D41" s="71"/>
      <c r="E41" s="74"/>
      <c r="F41" s="71"/>
      <c r="G41" s="71"/>
      <c r="H41" s="71"/>
      <c r="I41" s="71"/>
      <c r="J41" s="71"/>
    </row>
    <row r="42" spans="1:10" ht="15.6">
      <c r="A42" s="71"/>
      <c r="B42" s="72"/>
      <c r="C42" s="71"/>
      <c r="D42" s="71"/>
      <c r="E42" s="75"/>
      <c r="F42" s="71"/>
      <c r="G42" s="71"/>
      <c r="H42" s="71"/>
      <c r="I42" s="71"/>
      <c r="J42" s="71"/>
    </row>
    <row r="43" spans="1:10" ht="15.6">
      <c r="A43" s="71"/>
      <c r="B43" s="72"/>
      <c r="C43" s="71"/>
      <c r="D43" s="71"/>
      <c r="E43" s="74"/>
      <c r="F43" s="71"/>
      <c r="G43" s="71"/>
      <c r="H43" s="71"/>
      <c r="I43" s="71"/>
      <c r="J43" s="71"/>
    </row>
    <row r="44" spans="1:10">
      <c r="A44" s="71"/>
      <c r="B44" s="72"/>
      <c r="C44" s="71"/>
      <c r="D44" s="71"/>
      <c r="E44" s="71"/>
      <c r="F44" s="71"/>
      <c r="G44" s="71"/>
      <c r="H44" s="71"/>
      <c r="I44" s="71"/>
      <c r="J44" s="71"/>
    </row>
    <row r="45" spans="1:10">
      <c r="A45" s="71"/>
      <c r="B45" s="72"/>
      <c r="C45" s="71"/>
      <c r="D45" s="71"/>
      <c r="E45" s="71"/>
      <c r="F45" s="71"/>
      <c r="G45" s="71"/>
      <c r="H45" s="71"/>
      <c r="I45" s="71"/>
      <c r="J45" s="71"/>
    </row>
    <row r="46" spans="1:10">
      <c r="A46" s="71"/>
      <c r="B46" s="72"/>
      <c r="C46" s="71"/>
      <c r="D46" s="71"/>
      <c r="E46" s="71"/>
      <c r="F46" s="71"/>
      <c r="G46" s="71"/>
      <c r="H46" s="71"/>
      <c r="I46" s="71"/>
      <c r="J46" s="71"/>
    </row>
    <row r="47" spans="1:10">
      <c r="A47" s="71"/>
      <c r="B47" s="72"/>
      <c r="C47" s="71"/>
      <c r="D47" s="71"/>
      <c r="E47" s="71"/>
      <c r="F47" s="71"/>
      <c r="G47" s="71"/>
      <c r="H47" s="71"/>
      <c r="I47" s="71"/>
      <c r="J47" s="71"/>
    </row>
    <row r="48" spans="1:10">
      <c r="A48" s="71"/>
      <c r="B48" s="72"/>
      <c r="C48" s="71"/>
      <c r="D48" s="71"/>
      <c r="E48" s="71"/>
      <c r="F48" s="71"/>
      <c r="G48" s="71"/>
      <c r="H48" s="71"/>
      <c r="I48" s="71"/>
      <c r="J48" s="71"/>
    </row>
    <row r="49" spans="1:10">
      <c r="A49" s="71"/>
      <c r="B49" s="72"/>
      <c r="C49" s="71"/>
      <c r="D49" s="71"/>
      <c r="E49" s="71"/>
      <c r="F49" s="71"/>
      <c r="G49" s="71"/>
      <c r="H49" s="71"/>
      <c r="I49" s="71"/>
      <c r="J49" s="71"/>
    </row>
    <row r="50" spans="1:10">
      <c r="A50" s="71"/>
      <c r="B50" s="72"/>
      <c r="C50" s="71"/>
      <c r="D50" s="71"/>
      <c r="E50" s="71"/>
      <c r="F50" s="71"/>
      <c r="G50" s="71"/>
      <c r="H50" s="71"/>
      <c r="I50" s="71"/>
      <c r="J50" s="71"/>
    </row>
    <row r="51" spans="1:10">
      <c r="A51" s="71"/>
      <c r="B51" s="72"/>
      <c r="C51" s="71"/>
      <c r="D51" s="71"/>
      <c r="E51" s="71"/>
      <c r="F51" s="71"/>
      <c r="G51" s="71"/>
      <c r="H51" s="71"/>
      <c r="I51" s="71"/>
      <c r="J51" s="71"/>
    </row>
    <row r="52" spans="1:10">
      <c r="A52" s="71"/>
      <c r="B52" s="72"/>
      <c r="C52" s="71"/>
      <c r="D52" s="71"/>
      <c r="E52" s="71"/>
      <c r="F52" s="71"/>
      <c r="G52" s="71"/>
      <c r="H52" s="71"/>
      <c r="I52" s="71"/>
      <c r="J52" s="71"/>
    </row>
    <row r="53" spans="1:10">
      <c r="A53" s="71"/>
      <c r="B53" s="72"/>
      <c r="C53" s="71"/>
      <c r="D53" s="71"/>
      <c r="E53" s="71"/>
      <c r="F53" s="71"/>
      <c r="G53" s="71"/>
      <c r="H53" s="71"/>
      <c r="I53" s="71"/>
      <c r="J53" s="71"/>
    </row>
    <row r="54" spans="1:10">
      <c r="A54" s="71"/>
      <c r="B54" s="72"/>
      <c r="C54" s="71"/>
      <c r="D54" s="71"/>
      <c r="E54" s="71"/>
      <c r="F54" s="71"/>
      <c r="G54" s="71"/>
      <c r="H54" s="71"/>
      <c r="I54" s="71"/>
      <c r="J54" s="71"/>
    </row>
    <row r="55" spans="1:10">
      <c r="A55" s="71"/>
      <c r="B55" s="72"/>
      <c r="C55" s="71"/>
      <c r="D55" s="71"/>
      <c r="E55" s="71"/>
      <c r="F55" s="71"/>
      <c r="G55" s="71"/>
      <c r="H55" s="71"/>
      <c r="I55" s="71"/>
      <c r="J55" s="71"/>
    </row>
    <row r="56" spans="1:10">
      <c r="A56" s="71"/>
      <c r="B56" s="72"/>
      <c r="C56" s="71"/>
      <c r="D56" s="71"/>
      <c r="E56" s="71"/>
      <c r="F56" s="71"/>
      <c r="G56" s="71"/>
      <c r="H56" s="71"/>
      <c r="I56" s="71"/>
      <c r="J56" s="71"/>
    </row>
    <row r="57" spans="1:10">
      <c r="A57" s="71"/>
      <c r="B57" s="72"/>
      <c r="C57" s="71"/>
      <c r="D57" s="71"/>
      <c r="E57" s="71"/>
      <c r="F57" s="71"/>
      <c r="G57" s="71"/>
      <c r="H57" s="71"/>
      <c r="I57" s="71"/>
      <c r="J57" s="71"/>
    </row>
    <row r="58" spans="1:10">
      <c r="A58" s="71"/>
      <c r="B58" s="72"/>
      <c r="C58" s="71"/>
      <c r="D58" s="71"/>
      <c r="E58" s="71"/>
      <c r="F58" s="71"/>
      <c r="G58" s="71"/>
      <c r="H58" s="71"/>
      <c r="I58" s="71"/>
      <c r="J58" s="71"/>
    </row>
    <row r="59" spans="1:10">
      <c r="A59" s="71"/>
      <c r="B59" s="72"/>
      <c r="C59" s="71"/>
      <c r="D59" s="71"/>
      <c r="E59" s="71"/>
      <c r="F59" s="71"/>
      <c r="G59" s="71"/>
      <c r="H59" s="71"/>
      <c r="I59" s="71"/>
      <c r="J59" s="71"/>
    </row>
    <row r="60" spans="1:10">
      <c r="A60" s="71"/>
      <c r="B60" s="72"/>
      <c r="C60" s="71"/>
      <c r="D60" s="71"/>
      <c r="E60" s="71"/>
      <c r="F60" s="71"/>
      <c r="G60" s="71"/>
      <c r="H60" s="71"/>
      <c r="I60" s="71"/>
      <c r="J60" s="71"/>
    </row>
    <row r="61" spans="1:10">
      <c r="A61" s="71"/>
      <c r="B61" s="72"/>
      <c r="C61" s="71"/>
      <c r="D61" s="71"/>
      <c r="E61" s="71"/>
      <c r="F61" s="71"/>
      <c r="G61" s="71"/>
      <c r="H61" s="71"/>
      <c r="I61" s="71"/>
      <c r="J61" s="71"/>
    </row>
    <row r="62" spans="1:10">
      <c r="A62" s="71"/>
      <c r="B62" s="72"/>
      <c r="C62" s="71"/>
      <c r="D62" s="71"/>
      <c r="E62" s="71"/>
      <c r="F62" s="71"/>
      <c r="G62" s="71"/>
      <c r="H62" s="71"/>
      <c r="I62" s="71"/>
      <c r="J62" s="71"/>
    </row>
    <row r="63" spans="1:10">
      <c r="A63" s="71"/>
      <c r="B63" s="72"/>
      <c r="C63" s="71"/>
      <c r="D63" s="71"/>
      <c r="E63" s="71"/>
      <c r="F63" s="71"/>
      <c r="G63" s="71"/>
      <c r="H63" s="71"/>
      <c r="I63" s="71"/>
      <c r="J63" s="71"/>
    </row>
    <row r="64" spans="1:10">
      <c r="A64" s="71"/>
      <c r="B64" s="72"/>
      <c r="C64" s="71"/>
      <c r="D64" s="71"/>
      <c r="E64" s="71"/>
      <c r="F64" s="71"/>
      <c r="G64" s="71"/>
      <c r="H64" s="71"/>
      <c r="I64" s="71"/>
      <c r="J64" s="71"/>
    </row>
    <row r="65" spans="1:10">
      <c r="A65" s="71"/>
      <c r="B65" s="72"/>
      <c r="C65" s="71"/>
      <c r="D65" s="71"/>
      <c r="E65" s="71"/>
      <c r="F65" s="71"/>
      <c r="G65" s="71"/>
      <c r="H65" s="71"/>
      <c r="I65" s="71"/>
      <c r="J65" s="71"/>
    </row>
    <row r="66" spans="1:10">
      <c r="A66" s="71"/>
      <c r="B66" s="72"/>
      <c r="C66" s="71"/>
      <c r="D66" s="71"/>
      <c r="E66" s="71"/>
      <c r="F66" s="71"/>
      <c r="G66" s="71"/>
      <c r="H66" s="71"/>
      <c r="I66" s="71"/>
      <c r="J66" s="71"/>
    </row>
    <row r="67" spans="1:10">
      <c r="A67" s="71"/>
      <c r="B67" s="72"/>
      <c r="C67" s="71"/>
      <c r="D67" s="71"/>
      <c r="E67" s="71"/>
      <c r="F67" s="71"/>
      <c r="G67" s="71"/>
      <c r="H67" s="71"/>
      <c r="I67" s="71"/>
      <c r="J67" s="71"/>
    </row>
    <row r="68" spans="1:10">
      <c r="A68" s="71"/>
      <c r="B68" s="72"/>
      <c r="C68" s="71"/>
      <c r="D68" s="71"/>
      <c r="E68" s="71"/>
      <c r="F68" s="71"/>
      <c r="G68" s="71"/>
      <c r="H68" s="71"/>
      <c r="I68" s="71"/>
      <c r="J68" s="71"/>
    </row>
    <row r="69" spans="1:10">
      <c r="A69" s="71"/>
      <c r="B69" s="72"/>
      <c r="C69" s="71"/>
      <c r="D69" s="71"/>
      <c r="E69" s="71"/>
      <c r="F69" s="71"/>
      <c r="G69" s="71"/>
      <c r="H69" s="71"/>
      <c r="I69" s="71"/>
      <c r="J69" s="71"/>
    </row>
    <row r="70" spans="1:10">
      <c r="A70" s="71"/>
      <c r="B70" s="72"/>
      <c r="C70" s="71"/>
      <c r="D70" s="71"/>
      <c r="E70" s="71"/>
      <c r="F70" s="71"/>
      <c r="G70" s="71"/>
      <c r="H70" s="71"/>
      <c r="I70" s="71"/>
      <c r="J70" s="71"/>
    </row>
    <row r="71" spans="1:10">
      <c r="A71" s="71"/>
      <c r="B71" s="72"/>
      <c r="C71" s="71"/>
      <c r="D71" s="71"/>
      <c r="E71" s="71"/>
      <c r="F71" s="71"/>
      <c r="G71" s="71"/>
      <c r="H71" s="71"/>
      <c r="I71" s="71"/>
      <c r="J71" s="71"/>
    </row>
    <row r="72" spans="1:10">
      <c r="A72" s="71"/>
      <c r="B72" s="72"/>
      <c r="C72" s="71"/>
      <c r="D72" s="71"/>
      <c r="E72" s="71"/>
      <c r="F72" s="71"/>
      <c r="G72" s="71"/>
      <c r="H72" s="71"/>
      <c r="I72" s="71"/>
      <c r="J72" s="71"/>
    </row>
    <row r="73" spans="1:10">
      <c r="A73" s="71"/>
      <c r="B73" s="72"/>
      <c r="C73" s="71"/>
      <c r="D73" s="71"/>
      <c r="E73" s="71"/>
      <c r="F73" s="71"/>
      <c r="G73" s="71"/>
      <c r="H73" s="71"/>
      <c r="I73" s="71"/>
      <c r="J73" s="71"/>
    </row>
    <row r="74" spans="1:10">
      <c r="A74" s="71"/>
      <c r="B74" s="72"/>
      <c r="C74" s="71"/>
      <c r="D74" s="71"/>
      <c r="E74" s="71"/>
      <c r="F74" s="71"/>
      <c r="G74" s="71"/>
      <c r="H74" s="71"/>
      <c r="I74" s="71"/>
      <c r="J74" s="71"/>
    </row>
    <row r="75" spans="1:10">
      <c r="A75" s="71"/>
      <c r="B75" s="72"/>
      <c r="C75" s="71"/>
      <c r="D75" s="71"/>
      <c r="E75" s="71"/>
      <c r="F75" s="71"/>
      <c r="G75" s="71"/>
      <c r="H75" s="71"/>
      <c r="I75" s="71"/>
      <c r="J75" s="71"/>
    </row>
    <row r="76" spans="1:10">
      <c r="A76" s="71"/>
      <c r="B76" s="72"/>
      <c r="C76" s="71"/>
      <c r="D76" s="71"/>
      <c r="E76" s="71"/>
      <c r="F76" s="71"/>
      <c r="G76" s="71"/>
      <c r="H76" s="71"/>
      <c r="I76" s="71"/>
      <c r="J76" s="71"/>
    </row>
    <row r="77" spans="1:10">
      <c r="A77" s="71"/>
      <c r="B77" s="72"/>
      <c r="C77" s="71"/>
      <c r="D77" s="71"/>
      <c r="E77" s="71"/>
      <c r="F77" s="71"/>
      <c r="G77" s="71"/>
      <c r="H77" s="71"/>
      <c r="I77" s="71"/>
      <c r="J77" s="71"/>
    </row>
    <row r="78" spans="1:10">
      <c r="A78" s="71"/>
      <c r="B78" s="72"/>
      <c r="C78" s="71"/>
      <c r="D78" s="71"/>
      <c r="E78" s="71"/>
      <c r="F78" s="71"/>
      <c r="G78" s="71"/>
      <c r="H78" s="71"/>
      <c r="I78" s="71"/>
      <c r="J78" s="71"/>
    </row>
    <row r="79" spans="1:10">
      <c r="A79" s="71"/>
      <c r="B79" s="72"/>
      <c r="C79" s="71"/>
      <c r="D79" s="71"/>
      <c r="E79" s="71"/>
      <c r="F79" s="71"/>
      <c r="G79" s="71"/>
      <c r="H79" s="71"/>
      <c r="I79" s="71"/>
      <c r="J79" s="71"/>
    </row>
    <row r="80" spans="1:10">
      <c r="A80" s="71"/>
      <c r="B80" s="72"/>
      <c r="C80" s="71"/>
      <c r="D80" s="71"/>
      <c r="E80" s="71"/>
      <c r="F80" s="71"/>
      <c r="G80" s="71"/>
      <c r="H80" s="71"/>
      <c r="I80" s="71"/>
      <c r="J80" s="71"/>
    </row>
    <row r="81" spans="1:10">
      <c r="A81" s="71"/>
      <c r="B81" s="72"/>
      <c r="C81" s="71"/>
      <c r="D81" s="71"/>
      <c r="E81" s="71"/>
      <c r="F81" s="71"/>
      <c r="G81" s="71"/>
      <c r="H81" s="71"/>
      <c r="I81" s="71"/>
      <c r="J81" s="71"/>
    </row>
    <row r="82" spans="1:10">
      <c r="A82" s="71"/>
      <c r="B82" s="72"/>
      <c r="C82" s="71"/>
      <c r="D82" s="71"/>
      <c r="E82" s="71"/>
      <c r="F82" s="71"/>
      <c r="G82" s="71"/>
      <c r="H82" s="71"/>
      <c r="I82" s="71"/>
      <c r="J82" s="71"/>
    </row>
    <row r="83" spans="1:10">
      <c r="A83" s="71"/>
      <c r="B83" s="72"/>
      <c r="C83" s="71"/>
      <c r="D83" s="71"/>
      <c r="E83" s="71"/>
      <c r="F83" s="71"/>
      <c r="G83" s="71"/>
      <c r="H83" s="71"/>
      <c r="I83" s="71"/>
      <c r="J83" s="71"/>
    </row>
    <row r="84" spans="1:10">
      <c r="A84" s="71"/>
      <c r="B84" s="72"/>
      <c r="C84" s="71"/>
      <c r="D84" s="71"/>
      <c r="E84" s="71"/>
      <c r="F84" s="71"/>
      <c r="G84" s="71"/>
      <c r="H84" s="71"/>
      <c r="I84" s="71"/>
      <c r="J84" s="71"/>
    </row>
    <row r="85" spans="1:10">
      <c r="A85" s="71"/>
      <c r="B85" s="72"/>
      <c r="C85" s="71"/>
      <c r="D85" s="71"/>
      <c r="E85" s="71"/>
      <c r="F85" s="71"/>
      <c r="G85" s="71"/>
      <c r="H85" s="71"/>
      <c r="I85" s="71"/>
      <c r="J85" s="71"/>
    </row>
    <row r="86" spans="1:10">
      <c r="A86" s="71"/>
      <c r="B86" s="72"/>
      <c r="C86" s="71"/>
      <c r="D86" s="71"/>
      <c r="E86" s="71"/>
      <c r="F86" s="71"/>
      <c r="G86" s="71"/>
      <c r="H86" s="71"/>
      <c r="I86" s="71"/>
      <c r="J86" s="71"/>
    </row>
    <row r="87" spans="1:10">
      <c r="A87" s="71"/>
      <c r="B87" s="72"/>
      <c r="C87" s="71"/>
      <c r="D87" s="71"/>
      <c r="E87" s="71"/>
      <c r="F87" s="71"/>
      <c r="G87" s="71"/>
      <c r="H87" s="71"/>
      <c r="I87" s="71"/>
      <c r="J87" s="71"/>
    </row>
    <row r="88" spans="1:10">
      <c r="A88" s="71"/>
      <c r="B88" s="72"/>
      <c r="C88" s="71"/>
      <c r="D88" s="71"/>
      <c r="E88" s="71"/>
      <c r="F88" s="71"/>
      <c r="G88" s="71"/>
      <c r="H88" s="71"/>
      <c r="I88" s="71"/>
      <c r="J88" s="71"/>
    </row>
    <row r="89" spans="1:10">
      <c r="A89" s="71"/>
      <c r="B89" s="72"/>
      <c r="C89" s="71"/>
      <c r="D89" s="71"/>
      <c r="E89" s="71"/>
      <c r="F89" s="71"/>
      <c r="G89" s="71"/>
      <c r="H89" s="71"/>
      <c r="I89" s="71"/>
      <c r="J89" s="71"/>
    </row>
    <row r="90" spans="1:10">
      <c r="A90" s="71"/>
      <c r="B90" s="72"/>
      <c r="C90" s="71"/>
      <c r="D90" s="71"/>
      <c r="E90" s="71"/>
      <c r="F90" s="71"/>
      <c r="G90" s="71"/>
      <c r="H90" s="71"/>
      <c r="I90" s="71"/>
      <c r="J90" s="71"/>
    </row>
    <row r="91" spans="1:10">
      <c r="A91" s="71"/>
      <c r="B91" s="72"/>
      <c r="C91" s="71"/>
      <c r="D91" s="71"/>
      <c r="E91" s="71"/>
      <c r="F91" s="71"/>
      <c r="G91" s="71"/>
      <c r="H91" s="71"/>
      <c r="I91" s="71"/>
      <c r="J91" s="71"/>
    </row>
    <row r="92" spans="1:10">
      <c r="A92" s="71"/>
      <c r="B92" s="72"/>
      <c r="C92" s="71"/>
      <c r="D92" s="71"/>
      <c r="E92" s="71"/>
      <c r="F92" s="71"/>
      <c r="G92" s="71"/>
      <c r="H92" s="71"/>
      <c r="I92" s="71"/>
      <c r="J92" s="71"/>
    </row>
    <row r="93" spans="1:10">
      <c r="A93" s="71"/>
      <c r="B93" s="72"/>
      <c r="C93" s="71"/>
      <c r="D93" s="71"/>
      <c r="E93" s="71"/>
      <c r="F93" s="71"/>
      <c r="G93" s="71"/>
      <c r="H93" s="71"/>
      <c r="I93" s="71"/>
      <c r="J93" s="71"/>
    </row>
    <row r="94" spans="1:10">
      <c r="A94" s="71"/>
      <c r="B94" s="72"/>
      <c r="C94" s="71"/>
      <c r="D94" s="71"/>
      <c r="E94" s="71"/>
      <c r="F94" s="71"/>
      <c r="G94" s="71"/>
      <c r="H94" s="71"/>
      <c r="I94" s="71"/>
      <c r="J94" s="71"/>
    </row>
    <row r="95" spans="1:10">
      <c r="A95" s="71"/>
      <c r="B95" s="72"/>
      <c r="C95" s="71"/>
      <c r="D95" s="71"/>
      <c r="E95" s="71"/>
      <c r="F95" s="71"/>
      <c r="G95" s="71"/>
      <c r="H95" s="71"/>
      <c r="I95" s="71"/>
      <c r="J95" s="71"/>
    </row>
    <row r="96" spans="1:10">
      <c r="A96" s="71"/>
      <c r="B96" s="72"/>
      <c r="C96" s="71"/>
      <c r="D96" s="71"/>
      <c r="E96" s="71"/>
      <c r="F96" s="71"/>
      <c r="G96" s="71"/>
      <c r="H96" s="71"/>
      <c r="I96" s="71"/>
      <c r="J96" s="71"/>
    </row>
    <row r="97" spans="1:10">
      <c r="A97" s="71"/>
      <c r="B97" s="72"/>
      <c r="C97" s="71"/>
      <c r="D97" s="71"/>
      <c r="E97" s="71"/>
      <c r="F97" s="71"/>
      <c r="G97" s="71"/>
      <c r="H97" s="71"/>
      <c r="I97" s="71"/>
      <c r="J97" s="71"/>
    </row>
    <row r="98" spans="1:10">
      <c r="A98" s="71"/>
      <c r="B98" s="72"/>
      <c r="C98" s="71"/>
      <c r="D98" s="71"/>
      <c r="E98" s="71"/>
      <c r="F98" s="71"/>
      <c r="G98" s="71"/>
      <c r="H98" s="71"/>
      <c r="I98" s="71"/>
      <c r="J98" s="71"/>
    </row>
    <row r="99" spans="1:10">
      <c r="A99" s="71"/>
      <c r="B99" s="72"/>
      <c r="C99" s="71"/>
      <c r="D99" s="71"/>
      <c r="E99" s="71"/>
      <c r="F99" s="71"/>
      <c r="G99" s="71"/>
      <c r="H99" s="71"/>
      <c r="I99" s="71"/>
      <c r="J99" s="71"/>
    </row>
    <row r="100" spans="1:10">
      <c r="A100" s="71"/>
      <c r="B100" s="72"/>
      <c r="C100" s="71"/>
      <c r="D100" s="71"/>
      <c r="E100" s="71"/>
      <c r="F100" s="71"/>
      <c r="G100" s="71"/>
      <c r="H100" s="71"/>
      <c r="I100" s="71"/>
      <c r="J100" s="71"/>
    </row>
    <row r="101" spans="1:10">
      <c r="A101" s="71"/>
      <c r="B101" s="72"/>
      <c r="C101" s="71"/>
      <c r="D101" s="71"/>
      <c r="E101" s="71"/>
      <c r="F101" s="71"/>
      <c r="G101" s="71"/>
      <c r="H101" s="71"/>
      <c r="I101" s="71"/>
      <c r="J101" s="71"/>
    </row>
    <row r="102" spans="1:10">
      <c r="A102" s="71"/>
      <c r="B102" s="72"/>
      <c r="C102" s="71"/>
      <c r="D102" s="71"/>
      <c r="E102" s="71"/>
      <c r="F102" s="71"/>
      <c r="G102" s="71"/>
      <c r="H102" s="71"/>
      <c r="I102" s="71"/>
      <c r="J102" s="71"/>
    </row>
    <row r="103" spans="1:10">
      <c r="A103" s="71"/>
      <c r="B103" s="72"/>
      <c r="C103" s="71"/>
      <c r="D103" s="71"/>
      <c r="E103" s="71"/>
      <c r="F103" s="71"/>
      <c r="G103" s="71"/>
      <c r="H103" s="71"/>
      <c r="I103" s="71"/>
      <c r="J103" s="71"/>
    </row>
    <row r="104" spans="1:10">
      <c r="A104" s="71"/>
      <c r="B104" s="72"/>
      <c r="C104" s="71"/>
      <c r="D104" s="71"/>
      <c r="E104" s="71"/>
      <c r="F104" s="71"/>
      <c r="G104" s="71"/>
      <c r="H104" s="71"/>
      <c r="I104" s="71"/>
      <c r="J104" s="71"/>
    </row>
    <row r="105" spans="1:10">
      <c r="A105" s="71"/>
      <c r="B105" s="72"/>
      <c r="C105" s="71"/>
      <c r="D105" s="71"/>
      <c r="E105" s="71"/>
      <c r="F105" s="71"/>
      <c r="G105" s="71"/>
      <c r="H105" s="71"/>
      <c r="I105" s="71"/>
      <c r="J105" s="71"/>
    </row>
    <row r="106" spans="1:10">
      <c r="A106" s="71"/>
      <c r="B106" s="72"/>
      <c r="C106" s="71"/>
      <c r="D106" s="71"/>
      <c r="E106" s="71"/>
      <c r="F106" s="71"/>
      <c r="G106" s="71"/>
      <c r="H106" s="71"/>
      <c r="I106" s="71"/>
      <c r="J106" s="71"/>
    </row>
    <row r="107" spans="1:10">
      <c r="A107" s="71"/>
      <c r="B107" s="72"/>
      <c r="C107" s="71"/>
      <c r="D107" s="71"/>
      <c r="E107" s="71"/>
      <c r="F107" s="71"/>
      <c r="G107" s="71"/>
      <c r="H107" s="71"/>
      <c r="I107" s="71"/>
      <c r="J107" s="71"/>
    </row>
    <row r="108" spans="1:10">
      <c r="A108" s="71"/>
      <c r="B108" s="72"/>
      <c r="C108" s="71"/>
      <c r="D108" s="71"/>
      <c r="E108" s="71"/>
      <c r="F108" s="71"/>
      <c r="G108" s="71"/>
      <c r="H108" s="71"/>
      <c r="I108" s="71"/>
      <c r="J108" s="71"/>
    </row>
    <row r="109" spans="1:10">
      <c r="A109" s="71"/>
      <c r="B109" s="72"/>
      <c r="C109" s="71"/>
      <c r="D109" s="71"/>
      <c r="E109" s="71"/>
      <c r="F109" s="71"/>
      <c r="G109" s="71"/>
      <c r="H109" s="71"/>
      <c r="I109" s="71"/>
      <c r="J109" s="71"/>
    </row>
    <row r="110" spans="1:10">
      <c r="A110" s="71"/>
      <c r="B110" s="72"/>
      <c r="C110" s="71"/>
      <c r="D110" s="71"/>
      <c r="E110" s="71"/>
      <c r="F110" s="71"/>
      <c r="G110" s="71"/>
      <c r="H110" s="71"/>
      <c r="I110" s="71"/>
      <c r="J110" s="71"/>
    </row>
    <row r="111" spans="1:10">
      <c r="A111" s="71"/>
      <c r="B111" s="72"/>
      <c r="C111" s="71"/>
      <c r="D111" s="71"/>
      <c r="E111" s="71"/>
      <c r="F111" s="71"/>
      <c r="G111" s="71"/>
      <c r="H111" s="71"/>
      <c r="I111" s="71"/>
      <c r="J111" s="71"/>
    </row>
    <row r="112" spans="1:10">
      <c r="A112" s="71"/>
      <c r="B112" s="72"/>
      <c r="C112" s="71"/>
      <c r="D112" s="71"/>
      <c r="E112" s="71"/>
      <c r="F112" s="71"/>
      <c r="G112" s="71"/>
      <c r="H112" s="71"/>
      <c r="I112" s="71"/>
      <c r="J112" s="71"/>
    </row>
    <row r="113" spans="1:10">
      <c r="A113" s="71"/>
      <c r="B113" s="72"/>
      <c r="C113" s="71"/>
      <c r="D113" s="71"/>
      <c r="E113" s="71"/>
      <c r="F113" s="71"/>
      <c r="G113" s="71"/>
      <c r="H113" s="71"/>
      <c r="I113" s="71"/>
      <c r="J113" s="71"/>
    </row>
    <row r="114" spans="1:10">
      <c r="A114" s="71"/>
      <c r="B114" s="72"/>
      <c r="C114" s="71"/>
      <c r="D114" s="71"/>
      <c r="E114" s="71"/>
      <c r="F114" s="71"/>
      <c r="G114" s="71"/>
      <c r="H114" s="71"/>
      <c r="I114" s="71"/>
      <c r="J114" s="71"/>
    </row>
    <row r="115" spans="1:10">
      <c r="A115" s="71"/>
      <c r="B115" s="72"/>
      <c r="C115" s="71"/>
      <c r="D115" s="71"/>
      <c r="E115" s="71"/>
      <c r="F115" s="71"/>
      <c r="G115" s="71"/>
      <c r="H115" s="71"/>
      <c r="I115" s="71"/>
      <c r="J115" s="71"/>
    </row>
    <row r="116" spans="1:10">
      <c r="A116" s="71"/>
      <c r="B116" s="72"/>
      <c r="C116" s="71"/>
      <c r="D116" s="71"/>
      <c r="E116" s="71"/>
      <c r="F116" s="71"/>
      <c r="G116" s="71"/>
      <c r="H116" s="71"/>
      <c r="I116" s="71"/>
      <c r="J116" s="71"/>
    </row>
    <row r="117" spans="1:10">
      <c r="A117" s="71"/>
      <c r="B117" s="72"/>
      <c r="C117" s="71"/>
      <c r="D117" s="71"/>
      <c r="E117" s="71"/>
      <c r="F117" s="71"/>
      <c r="G117" s="71"/>
      <c r="H117" s="71"/>
      <c r="I117" s="71"/>
      <c r="J117" s="71"/>
    </row>
    <row r="118" spans="1:10">
      <c r="A118" s="71"/>
      <c r="B118" s="72"/>
      <c r="C118" s="71"/>
      <c r="D118" s="71"/>
      <c r="E118" s="71"/>
      <c r="F118" s="71"/>
      <c r="G118" s="71"/>
      <c r="H118" s="71"/>
      <c r="I118" s="71"/>
      <c r="J118" s="71"/>
    </row>
    <row r="119" spans="1:10">
      <c r="A119" s="71"/>
      <c r="B119" s="72"/>
      <c r="C119" s="71"/>
      <c r="D119" s="71"/>
      <c r="E119" s="71"/>
      <c r="F119" s="71"/>
      <c r="G119" s="71"/>
      <c r="H119" s="71"/>
      <c r="I119" s="71"/>
      <c r="J119" s="71"/>
    </row>
    <row r="120" spans="1:10">
      <c r="A120" s="71"/>
      <c r="B120" s="72"/>
      <c r="C120" s="71"/>
      <c r="D120" s="71"/>
      <c r="E120" s="71"/>
      <c r="F120" s="71"/>
      <c r="G120" s="71"/>
      <c r="H120" s="71"/>
      <c r="I120" s="71"/>
      <c r="J120" s="71"/>
    </row>
    <row r="121" spans="1:10">
      <c r="A121" s="71"/>
      <c r="B121" s="72"/>
      <c r="C121" s="71"/>
      <c r="D121" s="71"/>
      <c r="E121" s="71"/>
      <c r="F121" s="71"/>
      <c r="G121" s="71"/>
      <c r="H121" s="71"/>
      <c r="I121" s="71"/>
      <c r="J121" s="71"/>
    </row>
    <row r="122" spans="1:10">
      <c r="A122" s="71"/>
      <c r="B122" s="72"/>
      <c r="C122" s="71"/>
      <c r="D122" s="71"/>
      <c r="E122" s="71"/>
      <c r="F122" s="71"/>
      <c r="G122" s="71"/>
      <c r="H122" s="71"/>
      <c r="I122" s="71"/>
      <c r="J122" s="71"/>
    </row>
    <row r="123" spans="1:10">
      <c r="A123" s="71"/>
      <c r="B123" s="72"/>
      <c r="C123" s="71"/>
      <c r="D123" s="71"/>
      <c r="E123" s="71"/>
      <c r="F123" s="71"/>
      <c r="G123" s="71"/>
      <c r="H123" s="71"/>
      <c r="I123" s="71"/>
      <c r="J123" s="71"/>
    </row>
    <row r="124" spans="1:10">
      <c r="A124" s="71"/>
      <c r="B124" s="72"/>
      <c r="C124" s="71"/>
      <c r="D124" s="71"/>
      <c r="E124" s="71"/>
      <c r="F124" s="71"/>
      <c r="G124" s="71"/>
      <c r="H124" s="71"/>
      <c r="I124" s="71"/>
      <c r="J124" s="71"/>
    </row>
    <row r="125" spans="1:10">
      <c r="A125" s="71"/>
      <c r="B125" s="72"/>
      <c r="C125" s="71"/>
      <c r="D125" s="71"/>
      <c r="E125" s="71"/>
      <c r="F125" s="71"/>
      <c r="G125" s="71"/>
      <c r="H125" s="71"/>
      <c r="I125" s="71"/>
      <c r="J125" s="71"/>
    </row>
    <row r="126" spans="1:10">
      <c r="A126" s="71"/>
      <c r="B126" s="72"/>
      <c r="C126" s="71"/>
      <c r="D126" s="71"/>
      <c r="E126" s="71"/>
      <c r="F126" s="71"/>
      <c r="G126" s="71"/>
      <c r="H126" s="71"/>
      <c r="I126" s="71"/>
      <c r="J126" s="71"/>
    </row>
    <row r="127" spans="1:10">
      <c r="A127" s="71"/>
      <c r="B127" s="72"/>
      <c r="C127" s="71"/>
      <c r="D127" s="71"/>
      <c r="E127" s="71"/>
      <c r="F127" s="71"/>
      <c r="G127" s="71"/>
      <c r="H127" s="71"/>
      <c r="I127" s="71"/>
      <c r="J127" s="71"/>
    </row>
    <row r="128" spans="1:10">
      <c r="A128" s="71"/>
      <c r="B128" s="72"/>
      <c r="C128" s="71"/>
      <c r="D128" s="71"/>
      <c r="E128" s="71"/>
      <c r="F128" s="71"/>
      <c r="G128" s="71"/>
      <c r="H128" s="71"/>
      <c r="I128" s="71"/>
      <c r="J128" s="71"/>
    </row>
    <row r="129" spans="1:10">
      <c r="A129" s="71"/>
      <c r="B129" s="72"/>
      <c r="C129" s="71"/>
      <c r="D129" s="71"/>
      <c r="E129" s="71"/>
      <c r="F129" s="71"/>
      <c r="G129" s="71"/>
      <c r="H129" s="71"/>
      <c r="I129" s="71"/>
      <c r="J129" s="71"/>
    </row>
    <row r="130" spans="1:10">
      <c r="A130" s="71"/>
      <c r="B130" s="72"/>
      <c r="C130" s="71"/>
      <c r="D130" s="71"/>
      <c r="E130" s="71"/>
      <c r="F130" s="71"/>
      <c r="G130" s="71"/>
      <c r="H130" s="71"/>
      <c r="I130" s="71"/>
      <c r="J130" s="71"/>
    </row>
    <row r="131" spans="1:10">
      <c r="A131" s="71"/>
      <c r="B131" s="72"/>
      <c r="C131" s="71"/>
      <c r="D131" s="71"/>
      <c r="E131" s="71"/>
      <c r="F131" s="71"/>
      <c r="G131" s="71"/>
      <c r="H131" s="71"/>
      <c r="I131" s="71"/>
      <c r="J131" s="71"/>
    </row>
    <row r="132" spans="1:10">
      <c r="A132" s="71"/>
      <c r="B132" s="72"/>
      <c r="C132" s="71"/>
      <c r="D132" s="71"/>
      <c r="E132" s="71"/>
      <c r="F132" s="71"/>
      <c r="G132" s="71"/>
      <c r="H132" s="71"/>
      <c r="I132" s="71"/>
      <c r="J132" s="71"/>
    </row>
    <row r="133" spans="1:10">
      <c r="A133" s="71"/>
      <c r="B133" s="72"/>
      <c r="C133" s="71"/>
      <c r="D133" s="71"/>
      <c r="E133" s="71"/>
      <c r="F133" s="71"/>
      <c r="G133" s="71"/>
      <c r="H133" s="71"/>
      <c r="I133" s="71"/>
      <c r="J133" s="71"/>
    </row>
    <row r="134" spans="1:10">
      <c r="A134" s="71"/>
      <c r="B134" s="72"/>
      <c r="C134" s="71"/>
      <c r="D134" s="71"/>
      <c r="E134" s="71"/>
      <c r="F134" s="71"/>
      <c r="G134" s="71"/>
      <c r="H134" s="71"/>
      <c r="I134" s="71"/>
      <c r="J134" s="71"/>
    </row>
    <row r="135" spans="1:10">
      <c r="A135" s="71"/>
      <c r="B135" s="72"/>
      <c r="C135" s="71"/>
      <c r="D135" s="71"/>
      <c r="E135" s="71"/>
      <c r="F135" s="71"/>
      <c r="G135" s="71"/>
      <c r="H135" s="71"/>
      <c r="I135" s="71"/>
      <c r="J135" s="71"/>
    </row>
    <row r="136" spans="1:10">
      <c r="A136" s="71"/>
      <c r="B136" s="72"/>
      <c r="C136" s="71"/>
      <c r="D136" s="71"/>
      <c r="E136" s="71"/>
      <c r="F136" s="71"/>
      <c r="G136" s="71"/>
      <c r="H136" s="71"/>
      <c r="I136" s="71"/>
      <c r="J136" s="71"/>
    </row>
    <row r="137" spans="1:10">
      <c r="A137" s="71"/>
      <c r="B137" s="72"/>
      <c r="C137" s="71"/>
      <c r="D137" s="71"/>
      <c r="E137" s="71"/>
      <c r="F137" s="71"/>
      <c r="G137" s="71"/>
      <c r="H137" s="71"/>
      <c r="I137" s="71"/>
      <c r="J137" s="71"/>
    </row>
    <row r="138" spans="1:10">
      <c r="A138" s="71"/>
      <c r="B138" s="72"/>
      <c r="C138" s="71"/>
      <c r="D138" s="71"/>
      <c r="E138" s="71"/>
      <c r="F138" s="71"/>
      <c r="G138" s="71"/>
      <c r="H138" s="71"/>
      <c r="I138" s="71"/>
      <c r="J138" s="71"/>
    </row>
    <row r="139" spans="1:10">
      <c r="A139" s="71"/>
      <c r="B139" s="72"/>
      <c r="C139" s="71"/>
      <c r="D139" s="71"/>
      <c r="E139" s="71"/>
      <c r="F139" s="71"/>
      <c r="G139" s="71"/>
      <c r="H139" s="71"/>
      <c r="I139" s="71"/>
      <c r="J139" s="71"/>
    </row>
    <row r="140" spans="1:10">
      <c r="A140" s="71"/>
      <c r="B140" s="72"/>
      <c r="C140" s="71"/>
      <c r="D140" s="71"/>
      <c r="E140" s="71"/>
      <c r="F140" s="71"/>
      <c r="G140" s="71"/>
      <c r="H140" s="71"/>
      <c r="I140" s="71"/>
      <c r="J140" s="71"/>
    </row>
    <row r="141" spans="1:10">
      <c r="A141" s="71"/>
      <c r="B141" s="72"/>
      <c r="C141" s="71"/>
      <c r="D141" s="71"/>
      <c r="E141" s="71"/>
      <c r="F141" s="71"/>
      <c r="G141" s="71"/>
      <c r="H141" s="71"/>
      <c r="I141" s="71"/>
      <c r="J141" s="71"/>
    </row>
    <row r="142" spans="1:10">
      <c r="A142" s="71"/>
      <c r="B142" s="72"/>
      <c r="C142" s="71"/>
      <c r="D142" s="71"/>
      <c r="E142" s="71"/>
      <c r="F142" s="71"/>
      <c r="G142" s="71"/>
      <c r="H142" s="71"/>
      <c r="I142" s="71"/>
      <c r="J142" s="71"/>
    </row>
    <row r="143" spans="1:10">
      <c r="A143" s="71"/>
      <c r="B143" s="72"/>
      <c r="C143" s="71"/>
      <c r="D143" s="71"/>
      <c r="E143" s="71"/>
      <c r="F143" s="71"/>
      <c r="G143" s="71"/>
      <c r="H143" s="71"/>
      <c r="I143" s="71"/>
      <c r="J143" s="71"/>
    </row>
    <row r="144" spans="1:10">
      <c r="A144" s="71"/>
      <c r="B144" s="72"/>
      <c r="C144" s="71"/>
      <c r="D144" s="71"/>
      <c r="E144" s="71"/>
      <c r="F144" s="71"/>
      <c r="G144" s="71"/>
      <c r="H144" s="71"/>
      <c r="I144" s="71"/>
      <c r="J144" s="71"/>
    </row>
    <row r="145" spans="1:10">
      <c r="A145" s="71"/>
      <c r="B145" s="72"/>
      <c r="C145" s="71"/>
      <c r="D145" s="71"/>
      <c r="E145" s="71"/>
      <c r="F145" s="71"/>
      <c r="G145" s="71"/>
      <c r="H145" s="76"/>
      <c r="I145" s="76"/>
      <c r="J145" s="76"/>
    </row>
    <row r="146" spans="1:10">
      <c r="A146" s="71"/>
      <c r="B146" s="72"/>
      <c r="C146" s="71"/>
      <c r="D146" s="71"/>
      <c r="E146" s="71"/>
      <c r="F146" s="71"/>
      <c r="G146" s="71"/>
      <c r="H146" s="76"/>
      <c r="I146" s="76"/>
      <c r="J146" s="76"/>
    </row>
    <row r="147" spans="1:10">
      <c r="A147" s="71"/>
      <c r="B147" s="72"/>
      <c r="C147" s="71"/>
      <c r="D147" s="71"/>
      <c r="E147" s="71"/>
      <c r="F147" s="71"/>
      <c r="G147" s="71"/>
      <c r="H147" s="76"/>
      <c r="I147" s="76"/>
      <c r="J147" s="76"/>
    </row>
    <row r="148" spans="1:10">
      <c r="A148" s="71"/>
      <c r="B148" s="72"/>
      <c r="C148" s="71"/>
      <c r="D148" s="71"/>
      <c r="E148" s="71"/>
      <c r="F148" s="71"/>
      <c r="G148" s="71"/>
      <c r="H148" s="76"/>
      <c r="I148" s="76"/>
      <c r="J148" s="76"/>
    </row>
    <row r="149" spans="1:10">
      <c r="A149" s="71"/>
      <c r="B149" s="72"/>
      <c r="C149" s="71"/>
      <c r="D149" s="71"/>
      <c r="E149" s="71"/>
      <c r="F149" s="71"/>
      <c r="G149" s="71"/>
      <c r="H149" s="71"/>
      <c r="I149" s="71"/>
      <c r="J149" s="71"/>
    </row>
    <row r="150" spans="1:10">
      <c r="A150" s="71"/>
      <c r="B150" s="72"/>
      <c r="C150" s="71"/>
      <c r="D150" s="71"/>
      <c r="E150" s="71"/>
      <c r="F150" s="71"/>
      <c r="G150" s="71"/>
      <c r="H150" s="71"/>
      <c r="I150" s="71"/>
      <c r="J150" s="71"/>
    </row>
    <row r="151" spans="1:10">
      <c r="A151" s="71"/>
      <c r="B151" s="72"/>
      <c r="C151" s="71"/>
      <c r="D151" s="71"/>
      <c r="E151" s="71"/>
      <c r="F151" s="71"/>
      <c r="G151" s="71"/>
      <c r="H151" s="71"/>
      <c r="I151" s="71"/>
      <c r="J151" s="71"/>
    </row>
    <row r="152" spans="1:10">
      <c r="A152" s="71"/>
      <c r="B152" s="72"/>
      <c r="C152" s="71"/>
      <c r="D152" s="71"/>
      <c r="E152" s="71"/>
      <c r="F152" s="71"/>
      <c r="G152" s="71"/>
      <c r="H152" s="71"/>
      <c r="I152" s="71"/>
      <c r="J152" s="71"/>
    </row>
    <row r="153" spans="1:10">
      <c r="A153" s="71"/>
      <c r="B153" s="72"/>
      <c r="C153" s="71"/>
      <c r="D153" s="71"/>
      <c r="E153" s="71"/>
      <c r="F153" s="71"/>
      <c r="G153" s="71"/>
      <c r="H153" s="71"/>
      <c r="I153" s="71"/>
      <c r="J153" s="71"/>
    </row>
    <row r="154" spans="1:10">
      <c r="A154" s="71"/>
      <c r="B154" s="72"/>
      <c r="C154" s="71"/>
      <c r="D154" s="71"/>
      <c r="E154" s="71"/>
      <c r="F154" s="71"/>
      <c r="G154" s="71"/>
      <c r="H154" s="71"/>
      <c r="I154" s="71"/>
      <c r="J154" s="71"/>
    </row>
    <row r="155" spans="1:10">
      <c r="A155" s="71"/>
      <c r="B155" s="72"/>
      <c r="C155" s="71"/>
      <c r="D155" s="71"/>
      <c r="E155" s="71"/>
      <c r="F155" s="71"/>
      <c r="G155" s="71"/>
      <c r="H155" s="71"/>
      <c r="I155" s="71"/>
      <c r="J155" s="71"/>
    </row>
    <row r="156" spans="1:10">
      <c r="A156" s="71"/>
      <c r="B156" s="72"/>
      <c r="C156" s="71"/>
      <c r="D156" s="71"/>
      <c r="E156" s="71"/>
      <c r="F156" s="71"/>
      <c r="G156" s="71"/>
      <c r="H156" s="71"/>
      <c r="I156" s="71"/>
      <c r="J156" s="71"/>
    </row>
    <row r="157" spans="1:10">
      <c r="A157" s="71"/>
      <c r="B157" s="72"/>
      <c r="C157" s="71"/>
      <c r="D157" s="71"/>
      <c r="E157" s="71"/>
      <c r="F157" s="71"/>
      <c r="G157" s="71"/>
      <c r="H157" s="71"/>
      <c r="I157" s="71"/>
      <c r="J157" s="71"/>
    </row>
    <row r="158" spans="1:10">
      <c r="A158" s="71"/>
      <c r="B158" s="72"/>
      <c r="C158" s="71"/>
      <c r="D158" s="71"/>
      <c r="E158" s="71"/>
      <c r="F158" s="71"/>
      <c r="G158" s="71"/>
      <c r="H158" s="71"/>
      <c r="I158" s="71"/>
      <c r="J158" s="71"/>
    </row>
    <row r="159" spans="1:10">
      <c r="A159" s="71"/>
      <c r="B159" s="72"/>
      <c r="C159" s="71"/>
      <c r="D159" s="71"/>
      <c r="E159" s="71"/>
      <c r="F159" s="71"/>
      <c r="G159" s="71"/>
      <c r="H159" s="71"/>
      <c r="I159" s="71"/>
      <c r="J159" s="71"/>
    </row>
    <row r="160" spans="1:10">
      <c r="A160" s="71"/>
      <c r="B160" s="72"/>
      <c r="C160" s="71"/>
      <c r="D160" s="71"/>
      <c r="E160" s="71"/>
      <c r="F160" s="71"/>
      <c r="G160" s="71"/>
      <c r="H160" s="71"/>
      <c r="I160" s="71"/>
      <c r="J160" s="71"/>
    </row>
    <row r="161" spans="1:10">
      <c r="A161" s="71"/>
      <c r="B161" s="72"/>
      <c r="C161" s="71"/>
      <c r="D161" s="71"/>
      <c r="E161" s="71"/>
      <c r="F161" s="71"/>
      <c r="G161" s="71"/>
      <c r="H161" s="71"/>
      <c r="I161" s="71"/>
      <c r="J161" s="71"/>
    </row>
    <row r="162" spans="1:10">
      <c r="A162" s="71"/>
      <c r="B162" s="72"/>
      <c r="C162" s="71"/>
      <c r="D162" s="71"/>
      <c r="E162" s="71"/>
      <c r="F162" s="71"/>
      <c r="G162" s="71"/>
      <c r="H162" s="71"/>
      <c r="I162" s="71"/>
      <c r="J162" s="71"/>
    </row>
    <row r="163" spans="1:10">
      <c r="A163" s="71"/>
      <c r="B163" s="72"/>
      <c r="C163" s="71"/>
      <c r="D163" s="71"/>
      <c r="E163" s="71"/>
      <c r="F163" s="71"/>
      <c r="G163" s="71"/>
      <c r="H163" s="71"/>
      <c r="I163" s="71"/>
      <c r="J163" s="71"/>
    </row>
    <row r="164" spans="1:10">
      <c r="A164" s="71"/>
      <c r="B164" s="72"/>
      <c r="C164" s="71"/>
      <c r="D164" s="71"/>
      <c r="E164" s="71"/>
      <c r="F164" s="71"/>
      <c r="G164" s="71"/>
      <c r="H164" s="71"/>
      <c r="I164" s="71"/>
      <c r="J164" s="71"/>
    </row>
    <row r="165" spans="1:10">
      <c r="A165" s="71"/>
      <c r="B165" s="72"/>
      <c r="C165" s="71"/>
      <c r="D165" s="71"/>
      <c r="E165" s="71"/>
      <c r="F165" s="71"/>
      <c r="G165" s="71"/>
      <c r="H165" s="71"/>
      <c r="I165" s="71"/>
      <c r="J165" s="71"/>
    </row>
    <row r="166" spans="1:10">
      <c r="A166" s="71"/>
      <c r="B166" s="72"/>
      <c r="C166" s="71"/>
      <c r="D166" s="71"/>
      <c r="E166" s="71"/>
      <c r="F166" s="71"/>
      <c r="G166" s="71"/>
      <c r="H166" s="71"/>
      <c r="I166" s="71"/>
      <c r="J166" s="71"/>
    </row>
    <row r="167" spans="1:10">
      <c r="A167" s="71"/>
      <c r="B167" s="72"/>
      <c r="C167" s="71"/>
      <c r="D167" s="71"/>
      <c r="E167" s="71"/>
      <c r="F167" s="71"/>
      <c r="G167" s="71"/>
      <c r="H167" s="71"/>
      <c r="I167" s="71"/>
      <c r="J167" s="71"/>
    </row>
    <row r="168" spans="1:10">
      <c r="A168" s="71"/>
      <c r="B168" s="72"/>
      <c r="C168" s="71"/>
      <c r="D168" s="71"/>
      <c r="E168" s="71"/>
      <c r="F168" s="71"/>
      <c r="G168" s="71"/>
      <c r="H168" s="71"/>
      <c r="I168" s="71"/>
      <c r="J168" s="71"/>
    </row>
    <row r="169" spans="1:10">
      <c r="A169" s="71"/>
      <c r="B169" s="72"/>
      <c r="C169" s="71"/>
      <c r="D169" s="71"/>
      <c r="E169" s="71"/>
      <c r="F169" s="71"/>
      <c r="G169" s="71"/>
      <c r="H169" s="71"/>
      <c r="I169" s="71"/>
      <c r="J169" s="71"/>
    </row>
    <row r="170" spans="1:10">
      <c r="A170" s="71"/>
      <c r="B170" s="72"/>
      <c r="C170" s="71"/>
      <c r="D170" s="71"/>
      <c r="E170" s="71"/>
      <c r="F170" s="71"/>
      <c r="G170" s="71"/>
      <c r="H170" s="71"/>
      <c r="I170" s="71"/>
      <c r="J170" s="71"/>
    </row>
    <row r="171" spans="1:10">
      <c r="A171" s="71"/>
      <c r="B171" s="72"/>
      <c r="C171" s="71"/>
      <c r="D171" s="71"/>
      <c r="E171" s="71"/>
      <c r="F171" s="71"/>
      <c r="G171" s="71"/>
      <c r="H171" s="71"/>
      <c r="I171" s="71"/>
      <c r="J171" s="71"/>
    </row>
    <row r="172" spans="1:10">
      <c r="A172" s="71"/>
      <c r="B172" s="72"/>
      <c r="C172" s="71"/>
      <c r="D172" s="71"/>
      <c r="E172" s="71"/>
      <c r="F172" s="71"/>
      <c r="G172" s="71"/>
      <c r="H172" s="71"/>
      <c r="I172" s="71"/>
      <c r="J172" s="71"/>
    </row>
    <row r="173" spans="1:10">
      <c r="A173" s="71"/>
      <c r="B173" s="72"/>
      <c r="C173" s="71"/>
      <c r="D173" s="71"/>
      <c r="E173" s="71"/>
      <c r="F173" s="71"/>
      <c r="G173" s="71"/>
      <c r="H173" s="71"/>
      <c r="I173" s="71"/>
      <c r="J173" s="71"/>
    </row>
    <row r="174" spans="1:10">
      <c r="A174" s="71"/>
      <c r="B174" s="72"/>
      <c r="C174" s="71"/>
      <c r="D174" s="71"/>
      <c r="E174" s="71"/>
      <c r="F174" s="71"/>
      <c r="G174" s="71"/>
      <c r="H174" s="71"/>
      <c r="I174" s="71"/>
      <c r="J174" s="71"/>
    </row>
    <row r="175" spans="1:10">
      <c r="A175" s="71"/>
      <c r="B175" s="72"/>
      <c r="C175" s="71"/>
      <c r="D175" s="71"/>
      <c r="E175" s="71"/>
      <c r="F175" s="71"/>
      <c r="G175" s="71"/>
      <c r="H175" s="71"/>
      <c r="I175" s="71"/>
      <c r="J175" s="71"/>
    </row>
    <row r="176" spans="1:10">
      <c r="A176" s="71"/>
      <c r="B176" s="72"/>
      <c r="C176" s="71"/>
      <c r="D176" s="71"/>
      <c r="E176" s="71"/>
      <c r="F176" s="71"/>
      <c r="G176" s="71"/>
      <c r="H176" s="71"/>
      <c r="I176" s="71"/>
      <c r="J176" s="71"/>
    </row>
    <row r="177" spans="1:10">
      <c r="A177" s="71"/>
      <c r="B177" s="72"/>
      <c r="C177" s="71"/>
      <c r="D177" s="71"/>
      <c r="E177" s="71"/>
      <c r="F177" s="71"/>
      <c r="G177" s="71"/>
      <c r="H177" s="71"/>
      <c r="I177" s="71"/>
      <c r="J177" s="71"/>
    </row>
    <row r="178" spans="1:10">
      <c r="A178" s="71"/>
      <c r="B178" s="72"/>
      <c r="C178" s="71"/>
      <c r="D178" s="71"/>
      <c r="E178" s="71"/>
      <c r="F178" s="71"/>
      <c r="G178" s="71"/>
      <c r="H178" s="71"/>
      <c r="I178" s="71"/>
      <c r="J178" s="71"/>
    </row>
    <row r="179" spans="1:10">
      <c r="A179" s="71"/>
      <c r="B179" s="72"/>
      <c r="C179" s="71"/>
      <c r="D179" s="71"/>
      <c r="E179" s="71"/>
      <c r="F179" s="71"/>
      <c r="G179" s="71"/>
      <c r="H179" s="71"/>
      <c r="I179" s="71"/>
      <c r="J179" s="71"/>
    </row>
    <row r="180" spans="1:10">
      <c r="A180" s="71"/>
      <c r="B180" s="72"/>
      <c r="C180" s="71"/>
      <c r="D180" s="71"/>
      <c r="E180" s="71"/>
      <c r="F180" s="71"/>
      <c r="G180" s="71"/>
      <c r="H180" s="71"/>
      <c r="I180" s="71"/>
      <c r="J180" s="71"/>
    </row>
    <row r="181" spans="1:10">
      <c r="A181" s="71"/>
      <c r="B181" s="72"/>
      <c r="C181" s="71"/>
      <c r="D181" s="71"/>
      <c r="E181" s="71"/>
      <c r="F181" s="71"/>
      <c r="G181" s="71"/>
      <c r="H181" s="71"/>
      <c r="I181" s="71"/>
      <c r="J181" s="71"/>
    </row>
    <row r="182" spans="1:10">
      <c r="A182" s="71"/>
      <c r="B182" s="72"/>
      <c r="C182" s="71"/>
      <c r="D182" s="71"/>
      <c r="E182" s="71"/>
      <c r="F182" s="71"/>
      <c r="G182" s="71"/>
      <c r="H182" s="71"/>
      <c r="I182" s="71"/>
      <c r="J182" s="71"/>
    </row>
    <row r="183" spans="1:10">
      <c r="A183" s="71"/>
      <c r="B183" s="72"/>
      <c r="C183" s="71"/>
      <c r="D183" s="71"/>
      <c r="E183" s="71"/>
      <c r="F183" s="71"/>
      <c r="G183" s="71"/>
      <c r="H183" s="71"/>
      <c r="I183" s="71"/>
      <c r="J183" s="71"/>
    </row>
    <row r="184" spans="1:10">
      <c r="A184" s="71"/>
      <c r="B184" s="72"/>
      <c r="C184" s="71"/>
      <c r="D184" s="71"/>
      <c r="E184" s="71"/>
      <c r="F184" s="71"/>
      <c r="G184" s="71"/>
      <c r="H184" s="71"/>
      <c r="I184" s="71"/>
      <c r="J184" s="71"/>
    </row>
    <row r="185" spans="1:10">
      <c r="A185" s="71"/>
      <c r="B185" s="72"/>
      <c r="C185" s="71"/>
      <c r="D185" s="71"/>
      <c r="E185" s="71"/>
      <c r="F185" s="71"/>
      <c r="G185" s="71"/>
      <c r="H185" s="71"/>
      <c r="I185" s="71"/>
      <c r="J185" s="71"/>
    </row>
    <row r="186" spans="1:10">
      <c r="A186" s="71"/>
      <c r="B186" s="72"/>
      <c r="C186" s="71"/>
      <c r="D186" s="71"/>
      <c r="E186" s="71"/>
      <c r="F186" s="71"/>
      <c r="G186" s="71"/>
      <c r="H186" s="71"/>
      <c r="I186" s="71"/>
      <c r="J186" s="71"/>
    </row>
    <row r="187" spans="1:10">
      <c r="A187" s="71"/>
      <c r="B187" s="72"/>
      <c r="C187" s="71"/>
      <c r="D187" s="71"/>
      <c r="E187" s="71"/>
      <c r="F187" s="71"/>
      <c r="G187" s="71"/>
      <c r="H187" s="71"/>
      <c r="I187" s="71"/>
      <c r="J187" s="71"/>
    </row>
    <row r="188" spans="1:10">
      <c r="A188" s="71"/>
      <c r="B188" s="72"/>
      <c r="C188" s="71"/>
      <c r="D188" s="71"/>
      <c r="E188" s="71"/>
      <c r="F188" s="71"/>
      <c r="G188" s="71"/>
      <c r="H188" s="71"/>
      <c r="I188" s="71"/>
      <c r="J188" s="71"/>
    </row>
    <row r="189" spans="1:10">
      <c r="A189" s="71"/>
      <c r="B189" s="72"/>
      <c r="C189" s="71"/>
      <c r="D189" s="71"/>
      <c r="E189" s="71"/>
      <c r="F189" s="71"/>
      <c r="G189" s="71"/>
      <c r="H189" s="71"/>
      <c r="I189" s="71"/>
      <c r="J189" s="71"/>
    </row>
    <row r="190" spans="1:10">
      <c r="A190" s="71"/>
      <c r="B190" s="72"/>
      <c r="C190" s="71"/>
      <c r="D190" s="71"/>
      <c r="E190" s="71"/>
      <c r="F190" s="71"/>
      <c r="G190" s="71"/>
      <c r="H190" s="71"/>
      <c r="I190" s="71"/>
      <c r="J190" s="71"/>
    </row>
    <row r="191" spans="1:10">
      <c r="A191" s="71"/>
      <c r="B191" s="72"/>
      <c r="C191" s="71"/>
      <c r="D191" s="71"/>
      <c r="E191" s="71"/>
      <c r="F191" s="71"/>
      <c r="G191" s="71"/>
      <c r="H191" s="71"/>
      <c r="I191" s="71"/>
      <c r="J191" s="71"/>
    </row>
    <row r="192" spans="1:10">
      <c r="A192" s="71"/>
      <c r="B192" s="72"/>
      <c r="C192" s="71"/>
      <c r="D192" s="71"/>
      <c r="E192" s="71"/>
      <c r="F192" s="71"/>
      <c r="G192" s="71"/>
      <c r="H192" s="71"/>
      <c r="I192" s="71"/>
      <c r="J192" s="71"/>
    </row>
    <row r="193" spans="1:10">
      <c r="A193" s="71"/>
      <c r="B193" s="72"/>
      <c r="C193" s="71"/>
      <c r="D193" s="71"/>
      <c r="E193" s="71"/>
      <c r="F193" s="71"/>
      <c r="G193" s="71"/>
      <c r="H193" s="71"/>
      <c r="I193" s="71"/>
      <c r="J193" s="71"/>
    </row>
    <row r="194" spans="1:10">
      <c r="A194" s="71"/>
      <c r="B194" s="72"/>
      <c r="C194" s="71"/>
      <c r="D194" s="71"/>
      <c r="E194" s="71"/>
      <c r="F194" s="71"/>
      <c r="G194" s="71"/>
      <c r="H194" s="71"/>
      <c r="I194" s="71"/>
      <c r="J194" s="71"/>
    </row>
    <row r="195" spans="1:10">
      <c r="A195" s="71"/>
      <c r="B195" s="72"/>
      <c r="C195" s="71"/>
      <c r="D195" s="71"/>
      <c r="E195" s="71"/>
      <c r="F195" s="71"/>
      <c r="G195" s="71"/>
      <c r="H195" s="71"/>
      <c r="I195" s="71"/>
      <c r="J195" s="71"/>
    </row>
    <row r="196" spans="1:10">
      <c r="A196" s="71"/>
      <c r="B196" s="72"/>
      <c r="C196" s="71"/>
      <c r="D196" s="71"/>
      <c r="E196" s="71"/>
      <c r="F196" s="71"/>
      <c r="G196" s="71"/>
      <c r="H196" s="71"/>
      <c r="I196" s="71"/>
      <c r="J196" s="71"/>
    </row>
    <row r="197" spans="1:10">
      <c r="A197" s="71"/>
      <c r="B197" s="72"/>
      <c r="C197" s="71"/>
      <c r="D197" s="71"/>
      <c r="E197" s="71"/>
      <c r="F197" s="71"/>
      <c r="G197" s="71"/>
      <c r="H197" s="71"/>
      <c r="I197" s="71"/>
      <c r="J197" s="71"/>
    </row>
    <row r="198" spans="1:10">
      <c r="A198" s="71"/>
      <c r="B198" s="72"/>
      <c r="C198" s="71"/>
      <c r="D198" s="71"/>
      <c r="E198" s="71"/>
      <c r="F198" s="71"/>
      <c r="G198" s="71"/>
      <c r="H198" s="71"/>
      <c r="I198" s="71"/>
      <c r="J198" s="71"/>
    </row>
    <row r="199" spans="1:10">
      <c r="A199" s="71"/>
      <c r="B199" s="72"/>
      <c r="C199" s="71"/>
      <c r="D199" s="71"/>
      <c r="E199" s="71"/>
      <c r="F199" s="71"/>
      <c r="G199" s="71"/>
      <c r="H199" s="71"/>
      <c r="I199" s="71"/>
      <c r="J199" s="71"/>
    </row>
    <row r="200" spans="1:10">
      <c r="A200" s="71"/>
      <c r="B200" s="72"/>
      <c r="C200" s="71"/>
      <c r="D200" s="71"/>
      <c r="E200" s="71"/>
      <c r="F200" s="71"/>
      <c r="G200" s="71"/>
      <c r="H200" s="71"/>
      <c r="I200" s="71"/>
      <c r="J200" s="71"/>
    </row>
    <row r="201" spans="1:10">
      <c r="A201" s="71"/>
      <c r="B201" s="72"/>
      <c r="C201" s="71"/>
      <c r="D201" s="71"/>
      <c r="E201" s="71"/>
      <c r="F201" s="71"/>
      <c r="G201" s="71"/>
      <c r="H201" s="71"/>
      <c r="I201" s="71"/>
      <c r="J201" s="71"/>
    </row>
    <row r="202" spans="1:10">
      <c r="A202" s="71"/>
      <c r="B202" s="72"/>
      <c r="C202" s="71"/>
      <c r="D202" s="71"/>
      <c r="E202" s="71"/>
      <c r="F202" s="71"/>
      <c r="G202" s="71"/>
      <c r="H202" s="71"/>
      <c r="I202" s="71"/>
      <c r="J202" s="71"/>
    </row>
    <row r="203" spans="1:10">
      <c r="A203" s="71"/>
      <c r="B203" s="72"/>
      <c r="C203" s="71"/>
      <c r="D203" s="71"/>
      <c r="E203" s="71"/>
      <c r="F203" s="71"/>
      <c r="G203" s="71"/>
      <c r="H203" s="71"/>
      <c r="I203" s="71"/>
      <c r="J203" s="71"/>
    </row>
    <row r="204" spans="1:10">
      <c r="A204" s="71"/>
      <c r="B204" s="72"/>
      <c r="C204" s="71"/>
      <c r="D204" s="71"/>
      <c r="E204" s="71"/>
      <c r="F204" s="71"/>
      <c r="G204" s="71"/>
      <c r="H204" s="71"/>
      <c r="I204" s="71"/>
      <c r="J204" s="71"/>
    </row>
    <row r="205" spans="1:10">
      <c r="A205" s="71"/>
      <c r="B205" s="72"/>
      <c r="C205" s="71"/>
      <c r="D205" s="71"/>
      <c r="E205" s="71"/>
      <c r="F205" s="71"/>
      <c r="G205" s="71"/>
      <c r="H205" s="71"/>
      <c r="I205" s="71"/>
      <c r="J205" s="71"/>
    </row>
    <row r="206" spans="1:10">
      <c r="A206" s="71"/>
      <c r="B206" s="72"/>
      <c r="C206" s="71"/>
      <c r="D206" s="71"/>
      <c r="E206" s="71"/>
      <c r="F206" s="71"/>
      <c r="G206" s="71"/>
      <c r="H206" s="71"/>
      <c r="I206" s="71"/>
      <c r="J206" s="71"/>
    </row>
    <row r="207" spans="1:10">
      <c r="A207" s="71"/>
      <c r="B207" s="72"/>
      <c r="C207" s="71"/>
      <c r="D207" s="71"/>
      <c r="E207" s="71"/>
      <c r="F207" s="71"/>
      <c r="G207" s="71"/>
      <c r="H207" s="71"/>
      <c r="I207" s="71"/>
      <c r="J207" s="71"/>
    </row>
    <row r="208" spans="1:10">
      <c r="A208" s="71"/>
      <c r="B208" s="72"/>
      <c r="C208" s="71"/>
      <c r="D208" s="71"/>
      <c r="E208" s="71"/>
      <c r="F208" s="71"/>
      <c r="G208" s="71"/>
      <c r="H208" s="71"/>
      <c r="I208" s="71"/>
      <c r="J208" s="71"/>
    </row>
    <row r="209" spans="1:10">
      <c r="A209" s="71"/>
      <c r="B209" s="72"/>
      <c r="C209" s="71"/>
      <c r="D209" s="71"/>
      <c r="E209" s="71"/>
      <c r="F209" s="71"/>
      <c r="G209" s="71"/>
      <c r="H209" s="71"/>
      <c r="I209" s="71"/>
      <c r="J209" s="71"/>
    </row>
    <row r="210" spans="1:10">
      <c r="A210" s="71"/>
      <c r="B210" s="72"/>
      <c r="C210" s="71"/>
      <c r="D210" s="71"/>
      <c r="E210" s="71"/>
      <c r="F210" s="71"/>
      <c r="G210" s="71"/>
      <c r="H210" s="71"/>
      <c r="I210" s="71"/>
      <c r="J210" s="71"/>
    </row>
    <row r="211" spans="1:10">
      <c r="A211" s="71"/>
      <c r="B211" s="72"/>
      <c r="C211" s="71"/>
      <c r="D211" s="71"/>
      <c r="E211" s="71"/>
      <c r="F211" s="71"/>
      <c r="G211" s="71"/>
      <c r="H211" s="71"/>
      <c r="I211" s="71"/>
      <c r="J211" s="71"/>
    </row>
    <row r="212" spans="1:10">
      <c r="A212" s="71"/>
      <c r="B212" s="72"/>
      <c r="C212" s="71"/>
      <c r="D212" s="71"/>
      <c r="E212" s="71"/>
      <c r="F212" s="71"/>
      <c r="G212" s="71"/>
      <c r="H212" s="71"/>
      <c r="I212" s="71"/>
      <c r="J212" s="71"/>
    </row>
    <row r="213" spans="1:10">
      <c r="A213" s="71"/>
      <c r="B213" s="72"/>
      <c r="C213" s="71"/>
      <c r="D213" s="71"/>
      <c r="E213" s="71"/>
      <c r="F213" s="71"/>
      <c r="G213" s="71"/>
      <c r="H213" s="71"/>
      <c r="I213" s="71"/>
      <c r="J213" s="71"/>
    </row>
    <row r="214" spans="1:10">
      <c r="A214" s="71"/>
      <c r="B214" s="72"/>
      <c r="C214" s="71"/>
      <c r="D214" s="71"/>
      <c r="E214" s="71"/>
      <c r="F214" s="71"/>
      <c r="G214" s="71"/>
      <c r="H214" s="71"/>
      <c r="I214" s="71"/>
      <c r="J214" s="71"/>
    </row>
    <row r="215" spans="1:10">
      <c r="A215" s="71"/>
      <c r="B215" s="72"/>
      <c r="C215" s="71"/>
      <c r="D215" s="71"/>
      <c r="E215" s="71"/>
      <c r="F215" s="71"/>
      <c r="G215" s="71"/>
      <c r="H215" s="71"/>
      <c r="I215" s="71"/>
      <c r="J215" s="71"/>
    </row>
    <row r="216" spans="1:10">
      <c r="A216" s="71"/>
      <c r="B216" s="72"/>
      <c r="C216" s="71"/>
      <c r="D216" s="71"/>
      <c r="E216" s="71"/>
      <c r="F216" s="71"/>
      <c r="G216" s="71"/>
      <c r="H216" s="71"/>
      <c r="I216" s="71"/>
      <c r="J216" s="71"/>
    </row>
    <row r="217" spans="1:10">
      <c r="A217" s="71"/>
      <c r="B217" s="72"/>
      <c r="C217" s="71"/>
      <c r="D217" s="71"/>
      <c r="E217" s="71"/>
      <c r="F217" s="71"/>
      <c r="G217" s="71"/>
      <c r="H217" s="71"/>
      <c r="I217" s="71"/>
      <c r="J217" s="71"/>
    </row>
    <row r="218" spans="1:10">
      <c r="A218" s="71"/>
      <c r="B218" s="72"/>
      <c r="C218" s="71"/>
      <c r="D218" s="71"/>
      <c r="E218" s="71"/>
      <c r="F218" s="71"/>
      <c r="G218" s="71"/>
      <c r="H218" s="71"/>
      <c r="I218" s="71"/>
      <c r="J218" s="71"/>
    </row>
    <row r="219" spans="1:10">
      <c r="A219" s="71"/>
      <c r="B219" s="72"/>
      <c r="C219" s="71"/>
      <c r="D219" s="71"/>
      <c r="E219" s="71"/>
      <c r="F219" s="71"/>
      <c r="G219" s="71"/>
      <c r="H219" s="71"/>
      <c r="I219" s="71"/>
      <c r="J219" s="71"/>
    </row>
    <row r="220" spans="1:10">
      <c r="A220" s="71"/>
      <c r="B220" s="72"/>
      <c r="C220" s="71"/>
      <c r="D220" s="71"/>
      <c r="E220" s="71"/>
      <c r="F220" s="71"/>
      <c r="G220" s="71"/>
      <c r="H220" s="71"/>
      <c r="I220" s="71"/>
      <c r="J220" s="71"/>
    </row>
    <row r="221" spans="1:10">
      <c r="A221" s="71"/>
      <c r="B221" s="72"/>
      <c r="C221" s="71"/>
      <c r="D221" s="71"/>
      <c r="E221" s="71"/>
      <c r="F221" s="71"/>
      <c r="G221" s="71"/>
      <c r="H221" s="71"/>
      <c r="I221" s="71"/>
      <c r="J221" s="71"/>
    </row>
    <row r="222" spans="1:10">
      <c r="A222" s="71"/>
      <c r="B222" s="72"/>
      <c r="C222" s="71"/>
      <c r="D222" s="71"/>
      <c r="E222" s="71"/>
      <c r="F222" s="71"/>
      <c r="G222" s="71"/>
      <c r="H222" s="71"/>
      <c r="I222" s="71"/>
      <c r="J222" s="71"/>
    </row>
    <row r="223" spans="1:10">
      <c r="A223" s="71"/>
      <c r="B223" s="72"/>
      <c r="C223" s="71"/>
      <c r="D223" s="71"/>
      <c r="E223" s="71"/>
      <c r="F223" s="71"/>
      <c r="G223" s="71"/>
      <c r="H223" s="71"/>
      <c r="I223" s="71"/>
      <c r="J223" s="71"/>
    </row>
    <row r="224" spans="1:10">
      <c r="A224" s="71"/>
      <c r="B224" s="72"/>
      <c r="C224" s="71"/>
      <c r="D224" s="71"/>
      <c r="E224" s="71"/>
      <c r="F224" s="71"/>
      <c r="G224" s="71"/>
      <c r="H224" s="71"/>
      <c r="I224" s="71"/>
      <c r="J224" s="71"/>
    </row>
    <row r="225" spans="1:10">
      <c r="A225" s="71"/>
      <c r="B225" s="72"/>
      <c r="C225" s="71"/>
      <c r="D225" s="71"/>
      <c r="E225" s="71"/>
      <c r="F225" s="71"/>
      <c r="G225" s="71"/>
      <c r="H225" s="71"/>
      <c r="I225" s="71"/>
      <c r="J225" s="71"/>
    </row>
    <row r="226" spans="1:10">
      <c r="A226" s="71"/>
      <c r="B226" s="72"/>
      <c r="C226" s="71"/>
      <c r="D226" s="71"/>
      <c r="E226" s="71"/>
      <c r="F226" s="71"/>
      <c r="G226" s="71"/>
      <c r="H226" s="71"/>
      <c r="I226" s="71"/>
      <c r="J226" s="71"/>
    </row>
    <row r="227" spans="1:10">
      <c r="A227" s="71"/>
      <c r="B227" s="72"/>
      <c r="C227" s="71"/>
      <c r="D227" s="71"/>
      <c r="E227" s="71"/>
      <c r="F227" s="71"/>
      <c r="G227" s="71"/>
      <c r="H227" s="71"/>
      <c r="I227" s="71"/>
      <c r="J227" s="71"/>
    </row>
    <row r="228" spans="1:10">
      <c r="A228" s="71"/>
      <c r="B228" s="72"/>
      <c r="C228" s="71"/>
      <c r="D228" s="71"/>
      <c r="E228" s="71"/>
      <c r="F228" s="71"/>
      <c r="G228" s="71"/>
      <c r="H228" s="71"/>
      <c r="I228" s="71"/>
      <c r="J228" s="71"/>
    </row>
    <row r="229" spans="1:10">
      <c r="A229" s="71"/>
      <c r="B229" s="72"/>
      <c r="C229" s="71"/>
      <c r="D229" s="71"/>
      <c r="E229" s="71"/>
      <c r="F229" s="71"/>
      <c r="G229" s="71"/>
      <c r="H229" s="71"/>
      <c r="I229" s="71"/>
      <c r="J229" s="71"/>
    </row>
    <row r="230" spans="1:10">
      <c r="A230" s="71"/>
      <c r="B230" s="72"/>
      <c r="C230" s="71"/>
      <c r="D230" s="71"/>
      <c r="E230" s="71"/>
      <c r="F230" s="71"/>
      <c r="G230" s="71"/>
      <c r="H230" s="71"/>
      <c r="I230" s="71"/>
      <c r="J230" s="71"/>
    </row>
    <row r="231" spans="1:10">
      <c r="A231" s="71"/>
      <c r="B231" s="72"/>
      <c r="C231" s="71"/>
      <c r="D231" s="71"/>
      <c r="E231" s="71"/>
      <c r="F231" s="71"/>
      <c r="G231" s="71"/>
      <c r="H231" s="71"/>
      <c r="I231" s="71"/>
      <c r="J231" s="71"/>
    </row>
    <row r="232" spans="1:10">
      <c r="A232" s="71"/>
      <c r="B232" s="72"/>
      <c r="C232" s="71"/>
      <c r="D232" s="71"/>
      <c r="E232" s="71"/>
      <c r="F232" s="71"/>
      <c r="G232" s="71"/>
      <c r="H232" s="71"/>
      <c r="I232" s="71"/>
      <c r="J232" s="71"/>
    </row>
    <row r="233" spans="1:10">
      <c r="A233" s="71"/>
      <c r="B233" s="72"/>
      <c r="C233" s="71"/>
      <c r="D233" s="71"/>
      <c r="E233" s="71"/>
      <c r="F233" s="71"/>
      <c r="G233" s="71"/>
      <c r="H233" s="71"/>
      <c r="I233" s="71"/>
      <c r="J233" s="71"/>
    </row>
    <row r="234" spans="1:10">
      <c r="A234" s="71"/>
      <c r="B234" s="72"/>
      <c r="C234" s="71"/>
      <c r="D234" s="71"/>
      <c r="E234" s="71"/>
      <c r="F234" s="71"/>
      <c r="G234" s="71"/>
      <c r="H234" s="71"/>
      <c r="I234" s="71"/>
      <c r="J234" s="71"/>
    </row>
    <row r="235" spans="1:10">
      <c r="A235" s="71"/>
      <c r="B235" s="72"/>
      <c r="C235" s="71"/>
      <c r="D235" s="71"/>
      <c r="E235" s="71"/>
      <c r="F235" s="71"/>
      <c r="G235" s="71"/>
      <c r="H235" s="71"/>
      <c r="I235" s="71"/>
      <c r="J235" s="71"/>
    </row>
    <row r="236" spans="1:10">
      <c r="A236" s="71"/>
      <c r="B236" s="72"/>
      <c r="C236" s="71"/>
      <c r="D236" s="71"/>
      <c r="E236" s="71"/>
      <c r="F236" s="71"/>
      <c r="G236" s="71"/>
      <c r="H236" s="71"/>
      <c r="I236" s="71"/>
      <c r="J236" s="71"/>
    </row>
    <row r="237" spans="1:10">
      <c r="A237" s="71"/>
      <c r="B237" s="72"/>
      <c r="C237" s="71"/>
      <c r="D237" s="71"/>
      <c r="E237" s="71"/>
      <c r="F237" s="71"/>
      <c r="G237" s="71"/>
      <c r="H237" s="71"/>
      <c r="I237" s="71"/>
      <c r="J237" s="71"/>
    </row>
    <row r="238" spans="1:10">
      <c r="A238" s="71"/>
      <c r="B238" s="72"/>
      <c r="C238" s="71"/>
      <c r="D238" s="71"/>
      <c r="E238" s="71"/>
      <c r="F238" s="71"/>
      <c r="G238" s="71"/>
      <c r="H238" s="71"/>
      <c r="I238" s="71"/>
      <c r="J238" s="71"/>
    </row>
    <row r="239" spans="1:10">
      <c r="A239" s="71"/>
      <c r="B239" s="72"/>
      <c r="C239" s="71"/>
      <c r="D239" s="71"/>
      <c r="E239" s="71"/>
      <c r="F239" s="71"/>
      <c r="G239" s="71"/>
      <c r="H239" s="71"/>
      <c r="I239" s="71"/>
      <c r="J239" s="71"/>
    </row>
    <row r="240" spans="1:10">
      <c r="A240" s="71"/>
      <c r="B240" s="72"/>
      <c r="C240" s="71"/>
      <c r="D240" s="71"/>
      <c r="E240" s="71"/>
      <c r="F240" s="71"/>
      <c r="G240" s="71"/>
      <c r="H240" s="71"/>
      <c r="I240" s="71"/>
      <c r="J240" s="71"/>
    </row>
    <row r="241" spans="1:10">
      <c r="A241" s="71"/>
      <c r="B241" s="72"/>
      <c r="C241" s="71"/>
      <c r="D241" s="71"/>
      <c r="E241" s="71"/>
      <c r="F241" s="71"/>
      <c r="G241" s="71"/>
      <c r="H241" s="71"/>
      <c r="I241" s="71"/>
      <c r="J241" s="71"/>
    </row>
    <row r="242" spans="1:10">
      <c r="A242" s="71"/>
      <c r="B242" s="72"/>
      <c r="C242" s="71"/>
      <c r="D242" s="71"/>
      <c r="E242" s="71"/>
      <c r="F242" s="71"/>
      <c r="G242" s="71"/>
      <c r="H242" s="71"/>
      <c r="I242" s="71"/>
      <c r="J242" s="71"/>
    </row>
    <row r="243" spans="1:10">
      <c r="A243" s="71"/>
      <c r="B243" s="72"/>
      <c r="C243" s="71"/>
      <c r="D243" s="71"/>
      <c r="E243" s="71"/>
      <c r="F243" s="71"/>
      <c r="G243" s="71"/>
      <c r="H243" s="71"/>
      <c r="I243" s="71"/>
      <c r="J243" s="71"/>
    </row>
    <row r="244" spans="1:10">
      <c r="A244" s="71"/>
      <c r="B244" s="72"/>
      <c r="C244" s="71"/>
      <c r="D244" s="71"/>
      <c r="E244" s="71"/>
      <c r="F244" s="71"/>
      <c r="G244" s="71"/>
      <c r="H244" s="71"/>
      <c r="I244" s="71"/>
      <c r="J244" s="71"/>
    </row>
    <row r="245" spans="1:10">
      <c r="A245" s="71"/>
      <c r="B245" s="72"/>
      <c r="C245" s="71"/>
      <c r="D245" s="71"/>
      <c r="E245" s="71"/>
      <c r="F245" s="71"/>
      <c r="G245" s="71"/>
      <c r="H245" s="71"/>
      <c r="I245" s="71"/>
      <c r="J245" s="71"/>
    </row>
    <row r="246" spans="1:10">
      <c r="A246" s="71"/>
      <c r="B246" s="72"/>
      <c r="C246" s="71"/>
      <c r="D246" s="71"/>
      <c r="E246" s="71"/>
      <c r="F246" s="71"/>
      <c r="G246" s="71"/>
      <c r="H246" s="71"/>
      <c r="I246" s="71"/>
      <c r="J246" s="71"/>
    </row>
    <row r="247" spans="1:10">
      <c r="A247" s="71"/>
      <c r="B247" s="72"/>
      <c r="C247" s="71"/>
      <c r="D247" s="71"/>
      <c r="E247" s="71"/>
      <c r="F247" s="71"/>
      <c r="G247" s="71"/>
      <c r="H247" s="71"/>
      <c r="I247" s="71"/>
      <c r="J247" s="71"/>
    </row>
    <row r="248" spans="1:10">
      <c r="A248" s="71"/>
      <c r="B248" s="72"/>
      <c r="C248" s="71"/>
      <c r="D248" s="71"/>
      <c r="E248" s="71"/>
      <c r="F248" s="71"/>
      <c r="G248" s="71"/>
      <c r="H248" s="71"/>
      <c r="I248" s="71"/>
      <c r="J248" s="71"/>
    </row>
    <row r="249" spans="1:10">
      <c r="A249" s="71"/>
      <c r="B249" s="72"/>
      <c r="C249" s="71"/>
      <c r="D249" s="71"/>
      <c r="E249" s="71"/>
      <c r="F249" s="71"/>
      <c r="G249" s="71"/>
      <c r="H249" s="71"/>
      <c r="I249" s="71"/>
      <c r="J249" s="71"/>
    </row>
    <row r="250" spans="1:10">
      <c r="A250" s="71"/>
      <c r="B250" s="72"/>
      <c r="C250" s="71"/>
      <c r="D250" s="71"/>
      <c r="E250" s="71"/>
      <c r="F250" s="71"/>
      <c r="G250" s="71"/>
      <c r="H250" s="71"/>
      <c r="I250" s="71"/>
      <c r="J250" s="71"/>
    </row>
    <row r="251" spans="1:10">
      <c r="A251" s="71"/>
      <c r="B251" s="72"/>
      <c r="C251" s="71"/>
      <c r="D251" s="71"/>
      <c r="E251" s="71"/>
      <c r="F251" s="71"/>
      <c r="G251" s="71"/>
      <c r="H251" s="71"/>
      <c r="I251" s="71"/>
      <c r="J251" s="71"/>
    </row>
    <row r="252" spans="1:10">
      <c r="A252" s="71"/>
      <c r="B252" s="72"/>
      <c r="C252" s="71"/>
      <c r="D252" s="71"/>
      <c r="E252" s="71"/>
      <c r="F252" s="71"/>
      <c r="G252" s="71"/>
      <c r="H252" s="71"/>
      <c r="I252" s="71"/>
      <c r="J252" s="71"/>
    </row>
    <row r="253" spans="1:10">
      <c r="A253" s="71"/>
      <c r="B253" s="72"/>
      <c r="C253" s="71"/>
      <c r="D253" s="71"/>
      <c r="E253" s="71"/>
      <c r="F253" s="71"/>
      <c r="G253" s="71"/>
      <c r="H253" s="71"/>
      <c r="I253" s="71"/>
      <c r="J253" s="71"/>
    </row>
    <row r="254" spans="1:10">
      <c r="A254" s="71"/>
      <c r="B254" s="72"/>
      <c r="C254" s="71"/>
      <c r="D254" s="71"/>
      <c r="E254" s="71"/>
      <c r="F254" s="71"/>
      <c r="G254" s="71"/>
      <c r="H254" s="71"/>
      <c r="I254" s="71"/>
      <c r="J254" s="71"/>
    </row>
    <row r="255" spans="1:10">
      <c r="A255" s="71"/>
      <c r="B255" s="72"/>
      <c r="C255" s="71"/>
      <c r="D255" s="71"/>
      <c r="E255" s="71"/>
      <c r="F255" s="71"/>
      <c r="G255" s="71"/>
      <c r="H255" s="71"/>
      <c r="I255" s="71"/>
      <c r="J255" s="71"/>
    </row>
    <row r="256" spans="1:10">
      <c r="A256" s="71"/>
      <c r="B256" s="72"/>
      <c r="C256" s="71"/>
      <c r="D256" s="71"/>
      <c r="E256" s="71"/>
      <c r="F256" s="71"/>
      <c r="G256" s="71"/>
      <c r="H256" s="71"/>
      <c r="I256" s="71"/>
      <c r="J256" s="71"/>
    </row>
    <row r="257" spans="1:10">
      <c r="A257" s="71"/>
      <c r="B257" s="72"/>
      <c r="C257" s="71"/>
      <c r="D257" s="71"/>
      <c r="E257" s="71"/>
      <c r="F257" s="71"/>
      <c r="G257" s="71"/>
      <c r="H257" s="71"/>
      <c r="I257" s="71"/>
      <c r="J257" s="71"/>
    </row>
    <row r="258" spans="1:10">
      <c r="A258" s="71"/>
      <c r="B258" s="72"/>
      <c r="C258" s="71"/>
      <c r="D258" s="71"/>
      <c r="E258" s="71"/>
      <c r="F258" s="71"/>
      <c r="G258" s="71"/>
      <c r="H258" s="71"/>
      <c r="I258" s="71"/>
      <c r="J258" s="71"/>
    </row>
    <row r="259" spans="1:10">
      <c r="A259" s="71"/>
      <c r="B259" s="72"/>
      <c r="C259" s="71"/>
      <c r="D259" s="71"/>
      <c r="E259" s="71"/>
      <c r="F259" s="71"/>
      <c r="G259" s="71"/>
      <c r="H259" s="71"/>
      <c r="I259" s="71"/>
      <c r="J259" s="71"/>
    </row>
    <row r="260" spans="1:10">
      <c r="A260" s="71"/>
      <c r="B260" s="72"/>
      <c r="C260" s="71"/>
      <c r="D260" s="71"/>
      <c r="E260" s="71"/>
      <c r="F260" s="71"/>
      <c r="G260" s="71"/>
      <c r="H260" s="71"/>
      <c r="I260" s="71"/>
      <c r="J260" s="71"/>
    </row>
    <row r="261" spans="1:10">
      <c r="A261" s="71"/>
      <c r="B261" s="72"/>
      <c r="C261" s="71"/>
      <c r="D261" s="71"/>
      <c r="E261" s="71"/>
      <c r="F261" s="71"/>
      <c r="G261" s="71"/>
      <c r="H261" s="71"/>
      <c r="I261" s="71"/>
      <c r="J261" s="71"/>
    </row>
    <row r="262" spans="1:10">
      <c r="A262" s="71"/>
      <c r="B262" s="72"/>
      <c r="C262" s="71"/>
      <c r="D262" s="71"/>
      <c r="E262" s="71"/>
      <c r="F262" s="71"/>
      <c r="G262" s="71"/>
      <c r="H262" s="71"/>
      <c r="I262" s="71"/>
      <c r="J262" s="71"/>
    </row>
    <row r="263" spans="1:10">
      <c r="A263" s="71"/>
      <c r="B263" s="72"/>
      <c r="C263" s="71"/>
      <c r="D263" s="71"/>
      <c r="E263" s="71"/>
      <c r="F263" s="71"/>
      <c r="G263" s="71"/>
      <c r="H263" s="71"/>
      <c r="I263" s="71"/>
      <c r="J263" s="71"/>
    </row>
    <row r="264" spans="1:10">
      <c r="A264" s="71"/>
      <c r="B264" s="72"/>
      <c r="C264" s="71"/>
      <c r="D264" s="71"/>
      <c r="E264" s="71"/>
      <c r="F264" s="71"/>
      <c r="G264" s="71"/>
      <c r="H264" s="71"/>
      <c r="I264" s="71"/>
      <c r="J264" s="71"/>
    </row>
    <row r="265" spans="1:10">
      <c r="A265" s="71"/>
      <c r="B265" s="72"/>
      <c r="C265" s="71"/>
      <c r="D265" s="71"/>
      <c r="E265" s="71"/>
      <c r="F265" s="71"/>
      <c r="G265" s="71"/>
      <c r="H265" s="71"/>
      <c r="I265" s="71"/>
      <c r="J265" s="71"/>
    </row>
    <row r="266" spans="1:10">
      <c r="A266" s="71"/>
      <c r="B266" s="72"/>
      <c r="C266" s="71"/>
      <c r="D266" s="71"/>
      <c r="E266" s="71"/>
      <c r="F266" s="71"/>
      <c r="G266" s="71"/>
      <c r="H266" s="71"/>
      <c r="I266" s="71"/>
      <c r="J266" s="71"/>
    </row>
    <row r="267" spans="1:10">
      <c r="A267" s="71"/>
      <c r="B267" s="72"/>
      <c r="C267" s="71"/>
      <c r="D267" s="71"/>
      <c r="E267" s="71"/>
      <c r="F267" s="71"/>
      <c r="G267" s="71"/>
      <c r="H267" s="71"/>
      <c r="I267" s="71"/>
      <c r="J267" s="71"/>
    </row>
    <row r="268" spans="1:10">
      <c r="A268" s="71"/>
      <c r="B268" s="72"/>
      <c r="C268" s="71"/>
      <c r="D268" s="71"/>
      <c r="E268" s="71"/>
      <c r="F268" s="71"/>
      <c r="G268" s="71"/>
      <c r="H268" s="71"/>
      <c r="I268" s="71"/>
      <c r="J268" s="71"/>
    </row>
    <row r="269" spans="1:10">
      <c r="A269" s="71"/>
      <c r="B269" s="72"/>
      <c r="C269" s="71"/>
      <c r="D269" s="71"/>
      <c r="E269" s="71"/>
      <c r="F269" s="71"/>
      <c r="G269" s="71"/>
      <c r="H269" s="71"/>
      <c r="I269" s="71"/>
      <c r="J269" s="71"/>
    </row>
    <row r="270" spans="1:10">
      <c r="A270" s="71"/>
      <c r="B270" s="72"/>
      <c r="C270" s="71"/>
      <c r="D270" s="71"/>
      <c r="E270" s="71"/>
      <c r="F270" s="71"/>
      <c r="G270" s="71"/>
      <c r="H270" s="71"/>
      <c r="I270" s="71"/>
      <c r="J270" s="71"/>
    </row>
    <row r="271" spans="1:10">
      <c r="A271" s="71"/>
      <c r="B271" s="72"/>
      <c r="C271" s="71"/>
      <c r="D271" s="71"/>
      <c r="E271" s="71"/>
      <c r="F271" s="71"/>
      <c r="G271" s="71"/>
      <c r="H271" s="71"/>
      <c r="I271" s="71"/>
      <c r="J271" s="71"/>
    </row>
    <row r="272" spans="1:10">
      <c r="A272" s="71"/>
      <c r="B272" s="72"/>
      <c r="C272" s="71"/>
      <c r="D272" s="71"/>
      <c r="E272" s="71"/>
      <c r="F272" s="71"/>
      <c r="G272" s="71"/>
      <c r="H272" s="71"/>
      <c r="I272" s="71"/>
      <c r="J272" s="71"/>
    </row>
    <row r="273" spans="1:10">
      <c r="A273" s="71"/>
      <c r="B273" s="72"/>
      <c r="C273" s="71"/>
      <c r="D273" s="71"/>
      <c r="E273" s="71"/>
      <c r="F273" s="71"/>
      <c r="G273" s="71"/>
      <c r="H273" s="71"/>
      <c r="I273" s="71"/>
      <c r="J273" s="71"/>
    </row>
    <row r="274" spans="1:10">
      <c r="A274" s="71"/>
      <c r="B274" s="72"/>
      <c r="C274" s="71"/>
      <c r="D274" s="71"/>
      <c r="E274" s="71"/>
      <c r="F274" s="71"/>
      <c r="G274" s="71"/>
      <c r="H274" s="71"/>
      <c r="I274" s="71"/>
      <c r="J274" s="71"/>
    </row>
    <row r="275" spans="1:10">
      <c r="A275" s="71"/>
      <c r="B275" s="72"/>
      <c r="C275" s="71"/>
      <c r="D275" s="71"/>
      <c r="E275" s="71"/>
      <c r="F275" s="71"/>
      <c r="G275" s="71"/>
      <c r="H275" s="71"/>
      <c r="I275" s="71"/>
      <c r="J275" s="71"/>
    </row>
    <row r="276" spans="1:10">
      <c r="A276" s="71"/>
      <c r="B276" s="72"/>
      <c r="C276" s="71"/>
      <c r="D276" s="71"/>
      <c r="E276" s="71"/>
      <c r="F276" s="71"/>
      <c r="G276" s="71"/>
      <c r="H276" s="71"/>
      <c r="I276" s="71"/>
      <c r="J276" s="71"/>
    </row>
    <row r="277" spans="1:10">
      <c r="A277" s="71"/>
      <c r="B277" s="72"/>
      <c r="C277" s="71"/>
      <c r="D277" s="71"/>
      <c r="E277" s="71"/>
      <c r="F277" s="71"/>
      <c r="G277" s="71"/>
      <c r="H277" s="71"/>
      <c r="I277" s="71"/>
      <c r="J277" s="71"/>
    </row>
    <row r="278" spans="1:10">
      <c r="A278" s="71"/>
      <c r="B278" s="72"/>
      <c r="C278" s="71"/>
      <c r="D278" s="71"/>
      <c r="E278" s="71"/>
      <c r="F278" s="71"/>
      <c r="G278" s="71"/>
      <c r="H278" s="71"/>
      <c r="I278" s="71"/>
      <c r="J278" s="71"/>
    </row>
    <row r="279" spans="1:10">
      <c r="A279" s="71"/>
      <c r="B279" s="72"/>
      <c r="C279" s="71"/>
      <c r="D279" s="71"/>
      <c r="E279" s="71"/>
      <c r="F279" s="71"/>
      <c r="G279" s="71"/>
      <c r="H279" s="71"/>
      <c r="I279" s="71"/>
      <c r="J279" s="71"/>
    </row>
    <row r="280" spans="1:10">
      <c r="A280" s="71"/>
      <c r="B280" s="72"/>
      <c r="C280" s="71"/>
      <c r="D280" s="71"/>
      <c r="E280" s="71"/>
      <c r="F280" s="71"/>
      <c r="G280" s="71"/>
      <c r="H280" s="71"/>
      <c r="I280" s="71"/>
      <c r="J280" s="71"/>
    </row>
    <row r="281" spans="1:10">
      <c r="A281" s="71"/>
      <c r="B281" s="72"/>
      <c r="C281" s="71"/>
      <c r="D281" s="71"/>
      <c r="E281" s="71"/>
      <c r="F281" s="71"/>
      <c r="G281" s="71"/>
      <c r="H281" s="71"/>
      <c r="I281" s="71"/>
      <c r="J281" s="71"/>
    </row>
    <row r="282" spans="1:10">
      <c r="A282" s="71"/>
      <c r="B282" s="72"/>
      <c r="C282" s="71"/>
      <c r="D282" s="71"/>
      <c r="E282" s="71"/>
      <c r="F282" s="71"/>
      <c r="G282" s="71"/>
      <c r="H282" s="71"/>
      <c r="I282" s="71"/>
      <c r="J282" s="71"/>
    </row>
    <row r="283" spans="1:10">
      <c r="A283" s="71"/>
      <c r="B283" s="72"/>
      <c r="C283" s="71"/>
      <c r="D283" s="71"/>
      <c r="E283" s="71"/>
      <c r="F283" s="71"/>
      <c r="G283" s="71"/>
      <c r="H283" s="71"/>
      <c r="I283" s="71"/>
      <c r="J283" s="71"/>
    </row>
    <row r="284" spans="1:10">
      <c r="A284" s="71"/>
      <c r="B284" s="72"/>
      <c r="C284" s="71"/>
      <c r="D284" s="71"/>
      <c r="E284" s="71"/>
      <c r="F284" s="71"/>
      <c r="G284" s="71"/>
      <c r="H284" s="71"/>
      <c r="I284" s="71"/>
      <c r="J284" s="71"/>
    </row>
    <row r="285" spans="1:10">
      <c r="A285" s="71"/>
      <c r="B285" s="72"/>
      <c r="C285" s="71"/>
      <c r="D285" s="71"/>
      <c r="E285" s="71"/>
      <c r="F285" s="71"/>
      <c r="G285" s="71"/>
      <c r="H285" s="71"/>
      <c r="I285" s="71"/>
      <c r="J285" s="71"/>
    </row>
    <row r="286" spans="1:10">
      <c r="A286" s="71"/>
      <c r="B286" s="72"/>
      <c r="C286" s="71"/>
      <c r="D286" s="71"/>
      <c r="E286" s="71"/>
      <c r="F286" s="71"/>
      <c r="G286" s="71"/>
      <c r="H286" s="71"/>
      <c r="I286" s="71"/>
      <c r="J286" s="71"/>
    </row>
    <row r="287" spans="1:10">
      <c r="A287" s="71"/>
      <c r="B287" s="72"/>
      <c r="C287" s="71"/>
      <c r="D287" s="71"/>
      <c r="E287" s="71"/>
      <c r="F287" s="71"/>
      <c r="G287" s="71"/>
      <c r="H287" s="71"/>
      <c r="I287" s="71"/>
      <c r="J287" s="71"/>
    </row>
    <row r="288" spans="1:10">
      <c r="A288" s="71"/>
      <c r="B288" s="72"/>
      <c r="C288" s="71"/>
      <c r="D288" s="71"/>
      <c r="E288" s="71"/>
      <c r="F288" s="71"/>
      <c r="G288" s="71"/>
      <c r="H288" s="71"/>
      <c r="I288" s="71"/>
      <c r="J288" s="71"/>
    </row>
    <row r="289" spans="1:10">
      <c r="A289" s="71"/>
      <c r="B289" s="72"/>
      <c r="C289" s="71"/>
      <c r="D289" s="71"/>
      <c r="E289" s="71"/>
      <c r="F289" s="71"/>
      <c r="G289" s="71"/>
      <c r="H289" s="71"/>
      <c r="I289" s="71"/>
      <c r="J289" s="71"/>
    </row>
    <row r="290" spans="1:10">
      <c r="A290" s="71"/>
      <c r="B290" s="72"/>
      <c r="C290" s="71"/>
      <c r="D290" s="71"/>
      <c r="E290" s="71"/>
      <c r="F290" s="71"/>
      <c r="G290" s="71"/>
      <c r="H290" s="71"/>
      <c r="I290" s="71"/>
      <c r="J290" s="71"/>
    </row>
    <row r="291" spans="1:10">
      <c r="A291" s="71"/>
      <c r="B291" s="72"/>
      <c r="C291" s="71"/>
      <c r="D291" s="71"/>
      <c r="E291" s="71"/>
      <c r="F291" s="71"/>
      <c r="G291" s="71"/>
      <c r="H291" s="71"/>
      <c r="I291" s="71"/>
      <c r="J291" s="71"/>
    </row>
    <row r="292" spans="1:10">
      <c r="A292" s="71"/>
      <c r="B292" s="72"/>
      <c r="C292" s="71"/>
      <c r="D292" s="71"/>
      <c r="E292" s="71"/>
      <c r="F292" s="71"/>
      <c r="G292" s="71"/>
      <c r="H292" s="71"/>
      <c r="I292" s="71"/>
      <c r="J292" s="71"/>
    </row>
    <row r="293" spans="1:10">
      <c r="A293" s="71"/>
      <c r="B293" s="72"/>
      <c r="C293" s="71"/>
      <c r="D293" s="71"/>
      <c r="E293" s="71"/>
      <c r="F293" s="71"/>
      <c r="G293" s="71"/>
      <c r="H293" s="71"/>
      <c r="I293" s="71"/>
      <c r="J293" s="71"/>
    </row>
    <row r="294" spans="1:10">
      <c r="A294" s="71"/>
      <c r="B294" s="72"/>
      <c r="C294" s="71"/>
      <c r="D294" s="71"/>
      <c r="E294" s="71"/>
      <c r="F294" s="71"/>
      <c r="G294" s="71"/>
      <c r="H294" s="71"/>
      <c r="I294" s="71"/>
      <c r="J294" s="71"/>
    </row>
    <row r="295" spans="1:10">
      <c r="A295" s="71"/>
      <c r="B295" s="72"/>
      <c r="C295" s="71"/>
      <c r="D295" s="71"/>
      <c r="E295" s="71"/>
      <c r="F295" s="71"/>
      <c r="G295" s="71"/>
      <c r="H295" s="71"/>
      <c r="I295" s="71"/>
      <c r="J295" s="71"/>
    </row>
    <row r="296" spans="1:10">
      <c r="A296" s="71"/>
      <c r="B296" s="72"/>
      <c r="C296" s="71"/>
      <c r="D296" s="71"/>
      <c r="E296" s="71"/>
      <c r="F296" s="71"/>
      <c r="G296" s="71"/>
      <c r="H296" s="71"/>
      <c r="I296" s="71"/>
      <c r="J296" s="71"/>
    </row>
    <row r="297" spans="1:10">
      <c r="A297" s="71"/>
      <c r="B297" s="72"/>
      <c r="C297" s="71"/>
      <c r="D297" s="71"/>
      <c r="E297" s="71"/>
      <c r="F297" s="71"/>
      <c r="G297" s="71"/>
      <c r="H297" s="71"/>
      <c r="I297" s="71"/>
      <c r="J297" s="71"/>
    </row>
    <row r="298" spans="1:10">
      <c r="A298" s="71"/>
      <c r="B298" s="72"/>
      <c r="C298" s="71"/>
      <c r="D298" s="71"/>
      <c r="E298" s="71"/>
      <c r="F298" s="71"/>
      <c r="G298" s="71"/>
      <c r="H298" s="71"/>
      <c r="I298" s="71"/>
      <c r="J298" s="71"/>
    </row>
    <row r="299" spans="1:10">
      <c r="A299" s="71"/>
      <c r="B299" s="72"/>
      <c r="C299" s="71"/>
      <c r="D299" s="71"/>
      <c r="E299" s="71"/>
      <c r="F299" s="71"/>
      <c r="G299" s="71"/>
      <c r="H299" s="71"/>
      <c r="I299" s="71"/>
      <c r="J299" s="71"/>
    </row>
    <row r="300" spans="1:10">
      <c r="A300" s="71"/>
      <c r="B300" s="72"/>
      <c r="C300" s="71"/>
      <c r="D300" s="71"/>
      <c r="E300" s="71"/>
      <c r="F300" s="71"/>
      <c r="G300" s="71"/>
      <c r="H300" s="71"/>
      <c r="I300" s="71"/>
      <c r="J300" s="71"/>
    </row>
    <row r="301" spans="1:10">
      <c r="A301" s="71"/>
      <c r="B301" s="72"/>
      <c r="C301" s="71"/>
      <c r="D301" s="71"/>
      <c r="E301" s="71"/>
      <c r="F301" s="71"/>
      <c r="G301" s="71"/>
      <c r="H301" s="71"/>
      <c r="I301" s="71"/>
      <c r="J301" s="71"/>
    </row>
    <row r="302" spans="1:10">
      <c r="A302" s="71"/>
      <c r="B302" s="72"/>
      <c r="C302" s="71"/>
      <c r="D302" s="71"/>
      <c r="E302" s="71"/>
      <c r="F302" s="71"/>
      <c r="G302" s="71"/>
      <c r="H302" s="71"/>
      <c r="I302" s="71"/>
      <c r="J302" s="71"/>
    </row>
    <row r="303" spans="1:10">
      <c r="A303" s="71"/>
      <c r="B303" s="72"/>
      <c r="C303" s="71"/>
      <c r="D303" s="71"/>
      <c r="E303" s="71"/>
      <c r="F303" s="71"/>
      <c r="G303" s="71"/>
      <c r="H303" s="71"/>
      <c r="I303" s="71"/>
      <c r="J303" s="71"/>
    </row>
    <row r="304" spans="1:10">
      <c r="A304" s="71"/>
      <c r="B304" s="72"/>
      <c r="C304" s="71"/>
      <c r="D304" s="71"/>
      <c r="E304" s="71"/>
      <c r="F304" s="71"/>
      <c r="G304" s="71"/>
      <c r="H304" s="71"/>
      <c r="I304" s="71"/>
      <c r="J304" s="71"/>
    </row>
    <row r="305" spans="1:10">
      <c r="A305" s="71"/>
      <c r="B305" s="72"/>
      <c r="C305" s="71"/>
      <c r="D305" s="71"/>
      <c r="E305" s="71"/>
      <c r="F305" s="71"/>
      <c r="G305" s="71"/>
      <c r="H305" s="71"/>
      <c r="I305" s="71"/>
      <c r="J305" s="71"/>
    </row>
    <row r="306" spans="1:10">
      <c r="A306" s="71"/>
      <c r="B306" s="72"/>
      <c r="C306" s="71"/>
      <c r="D306" s="71"/>
      <c r="E306" s="71"/>
      <c r="F306" s="71"/>
      <c r="G306" s="71"/>
      <c r="H306" s="71"/>
      <c r="I306" s="71"/>
      <c r="J306" s="71"/>
    </row>
    <row r="307" spans="1:10">
      <c r="A307" s="71"/>
      <c r="B307" s="72"/>
      <c r="C307" s="71"/>
      <c r="D307" s="71"/>
      <c r="E307" s="71"/>
      <c r="F307" s="71"/>
      <c r="G307" s="71"/>
      <c r="H307" s="71"/>
      <c r="I307" s="71"/>
      <c r="J307" s="71"/>
    </row>
    <row r="308" spans="1:10">
      <c r="A308" s="71"/>
      <c r="B308" s="72"/>
      <c r="C308" s="71"/>
      <c r="D308" s="71"/>
      <c r="E308" s="71"/>
      <c r="F308" s="71"/>
      <c r="G308" s="71"/>
      <c r="H308" s="71"/>
      <c r="I308" s="71"/>
      <c r="J308" s="71"/>
    </row>
    <row r="309" spans="1:10">
      <c r="A309" s="71"/>
      <c r="B309" s="72"/>
      <c r="C309" s="71"/>
      <c r="D309" s="71"/>
      <c r="E309" s="71"/>
      <c r="F309" s="71"/>
      <c r="G309" s="71"/>
      <c r="H309" s="71"/>
      <c r="I309" s="71"/>
      <c r="J309" s="71"/>
    </row>
    <row r="310" spans="1:10">
      <c r="A310" s="71"/>
      <c r="B310" s="72"/>
      <c r="C310" s="71"/>
      <c r="D310" s="71"/>
      <c r="E310" s="71"/>
      <c r="F310" s="71"/>
      <c r="G310" s="71"/>
      <c r="H310" s="71"/>
      <c r="I310" s="71"/>
      <c r="J310" s="71"/>
    </row>
    <row r="311" spans="1:10">
      <c r="A311" s="71"/>
      <c r="B311" s="72"/>
      <c r="C311" s="71"/>
      <c r="D311" s="71"/>
      <c r="E311" s="71"/>
      <c r="F311" s="71"/>
      <c r="G311" s="71"/>
      <c r="H311" s="71"/>
      <c r="I311" s="71"/>
      <c r="J311" s="71"/>
    </row>
    <row r="312" spans="1:10">
      <c r="A312" s="71"/>
      <c r="B312" s="72"/>
      <c r="C312" s="71"/>
      <c r="D312" s="71"/>
      <c r="E312" s="71"/>
      <c r="F312" s="71"/>
      <c r="G312" s="71"/>
      <c r="H312" s="71"/>
      <c r="I312" s="71"/>
      <c r="J312" s="71"/>
    </row>
    <row r="313" spans="1:10">
      <c r="A313" s="71"/>
      <c r="B313" s="72"/>
      <c r="C313" s="71"/>
      <c r="D313" s="71"/>
      <c r="E313" s="71"/>
      <c r="F313" s="71"/>
      <c r="G313" s="71"/>
      <c r="H313" s="71"/>
      <c r="I313" s="71"/>
      <c r="J313" s="71"/>
    </row>
    <row r="314" spans="1:10">
      <c r="A314" s="71"/>
      <c r="B314" s="72"/>
      <c r="C314" s="71"/>
      <c r="D314" s="71"/>
      <c r="E314" s="71"/>
      <c r="F314" s="71"/>
      <c r="G314" s="71"/>
      <c r="H314" s="71"/>
      <c r="I314" s="71"/>
      <c r="J314" s="71"/>
    </row>
    <row r="315" spans="1:10">
      <c r="A315" s="71"/>
      <c r="B315" s="72"/>
      <c r="C315" s="71"/>
      <c r="D315" s="71"/>
      <c r="E315" s="71"/>
      <c r="F315" s="71"/>
      <c r="G315" s="71"/>
      <c r="H315" s="71"/>
      <c r="I315" s="71"/>
      <c r="J315" s="71"/>
    </row>
    <row r="316" spans="1:10">
      <c r="A316" s="71"/>
      <c r="B316" s="72"/>
      <c r="C316" s="71"/>
      <c r="D316" s="71"/>
      <c r="E316" s="71"/>
      <c r="F316" s="71"/>
      <c r="G316" s="71"/>
      <c r="H316" s="71"/>
      <c r="I316" s="71"/>
      <c r="J316" s="71"/>
    </row>
    <row r="317" spans="1:10">
      <c r="A317" s="71"/>
      <c r="B317" s="72"/>
      <c r="C317" s="71"/>
      <c r="D317" s="71"/>
      <c r="E317" s="71"/>
      <c r="F317" s="71"/>
      <c r="G317" s="71"/>
      <c r="H317" s="71"/>
      <c r="I317" s="71"/>
      <c r="J317" s="71"/>
    </row>
    <row r="318" spans="1:10">
      <c r="A318" s="71"/>
      <c r="B318" s="72"/>
      <c r="C318" s="71"/>
      <c r="D318" s="71"/>
      <c r="E318" s="71"/>
      <c r="F318" s="71"/>
      <c r="G318" s="71"/>
      <c r="H318" s="71"/>
      <c r="I318" s="71"/>
      <c r="J318" s="71"/>
    </row>
    <row r="319" spans="1:10">
      <c r="A319" s="71"/>
      <c r="B319" s="72"/>
      <c r="C319" s="71"/>
      <c r="D319" s="71"/>
      <c r="E319" s="71"/>
      <c r="F319" s="71"/>
      <c r="G319" s="71"/>
      <c r="H319" s="71"/>
      <c r="I319" s="71"/>
      <c r="J319" s="71"/>
    </row>
    <row r="320" spans="1:10">
      <c r="A320" s="71"/>
      <c r="B320" s="72"/>
      <c r="C320" s="71"/>
      <c r="D320" s="71"/>
      <c r="E320" s="71"/>
      <c r="F320" s="71"/>
      <c r="G320" s="71"/>
      <c r="H320" s="71"/>
      <c r="I320" s="71"/>
      <c r="J320" s="71"/>
    </row>
    <row r="321" spans="1:10">
      <c r="A321" s="71"/>
      <c r="B321" s="72"/>
      <c r="C321" s="71"/>
      <c r="D321" s="71"/>
      <c r="E321" s="71"/>
      <c r="F321" s="71"/>
      <c r="G321" s="71"/>
      <c r="H321" s="71"/>
      <c r="I321" s="71"/>
      <c r="J321" s="71"/>
    </row>
    <row r="322" spans="1:10">
      <c r="A322" s="71"/>
      <c r="B322" s="72"/>
      <c r="C322" s="71"/>
      <c r="D322" s="71"/>
      <c r="E322" s="71"/>
      <c r="F322" s="71"/>
      <c r="G322" s="71"/>
      <c r="H322" s="71"/>
      <c r="I322" s="71"/>
      <c r="J322" s="71"/>
    </row>
    <row r="323" spans="1:10">
      <c r="A323" s="71"/>
      <c r="B323" s="72"/>
      <c r="C323" s="71"/>
      <c r="D323" s="71"/>
      <c r="E323" s="71"/>
      <c r="F323" s="71"/>
      <c r="G323" s="71"/>
      <c r="H323" s="71"/>
      <c r="I323" s="71"/>
      <c r="J323" s="71"/>
    </row>
    <row r="324" spans="1:10">
      <c r="A324" s="71"/>
      <c r="B324" s="72"/>
      <c r="C324" s="71"/>
      <c r="D324" s="71"/>
      <c r="E324" s="71"/>
      <c r="F324" s="71"/>
      <c r="G324" s="71"/>
      <c r="H324" s="71"/>
      <c r="I324" s="71"/>
      <c r="J324" s="71"/>
    </row>
    <row r="325" spans="1:10">
      <c r="A325" s="71"/>
      <c r="B325" s="72"/>
      <c r="C325" s="71"/>
      <c r="D325" s="71"/>
      <c r="E325" s="71"/>
      <c r="F325" s="71"/>
      <c r="G325" s="71"/>
      <c r="H325" s="71"/>
      <c r="I325" s="71"/>
      <c r="J325" s="71"/>
    </row>
    <row r="326" spans="1:10">
      <c r="A326" s="71"/>
      <c r="B326" s="72"/>
      <c r="C326" s="71"/>
      <c r="D326" s="71"/>
      <c r="E326" s="71"/>
      <c r="F326" s="71"/>
      <c r="G326" s="71"/>
      <c r="H326" s="71"/>
      <c r="I326" s="71"/>
      <c r="J326" s="71"/>
    </row>
    <row r="327" spans="1:10">
      <c r="A327" s="71"/>
      <c r="B327" s="72"/>
      <c r="C327" s="71"/>
      <c r="D327" s="71"/>
      <c r="E327" s="71"/>
      <c r="F327" s="71"/>
      <c r="G327" s="71"/>
      <c r="H327" s="71"/>
      <c r="I327" s="71"/>
      <c r="J327" s="71"/>
    </row>
    <row r="328" spans="1:10">
      <c r="A328" s="71"/>
      <c r="B328" s="72"/>
      <c r="C328" s="71"/>
      <c r="D328" s="71"/>
      <c r="E328" s="71"/>
      <c r="F328" s="71"/>
      <c r="G328" s="71"/>
      <c r="H328" s="71"/>
      <c r="I328" s="71"/>
      <c r="J328" s="71"/>
    </row>
    <row r="329" spans="1:10">
      <c r="A329" s="71"/>
      <c r="B329" s="72"/>
      <c r="C329" s="71"/>
      <c r="D329" s="71"/>
      <c r="E329" s="71"/>
      <c r="F329" s="71"/>
      <c r="G329" s="71"/>
      <c r="H329" s="71"/>
      <c r="I329" s="71"/>
      <c r="J329" s="71"/>
    </row>
    <row r="330" spans="1:10">
      <c r="A330" s="71"/>
      <c r="B330" s="72"/>
      <c r="C330" s="71"/>
      <c r="D330" s="71"/>
      <c r="E330" s="71"/>
      <c r="F330" s="71"/>
      <c r="G330" s="71"/>
      <c r="H330" s="71"/>
      <c r="I330" s="71"/>
      <c r="J330" s="71"/>
    </row>
    <row r="331" spans="1:10">
      <c r="A331" s="71"/>
      <c r="B331" s="72"/>
      <c r="C331" s="71"/>
      <c r="D331" s="71"/>
      <c r="E331" s="71"/>
      <c r="F331" s="71"/>
      <c r="G331" s="71"/>
      <c r="H331" s="71"/>
      <c r="I331" s="71"/>
      <c r="J331" s="71"/>
    </row>
    <row r="332" spans="1:10">
      <c r="A332" s="71"/>
      <c r="B332" s="72"/>
      <c r="C332" s="71"/>
      <c r="D332" s="71"/>
      <c r="E332" s="71"/>
      <c r="F332" s="71"/>
      <c r="G332" s="71"/>
      <c r="H332" s="71"/>
      <c r="I332" s="71"/>
      <c r="J332" s="71"/>
    </row>
    <row r="333" spans="1:10">
      <c r="A333" s="71"/>
      <c r="B333" s="72"/>
      <c r="C333" s="71"/>
      <c r="D333" s="71"/>
      <c r="E333" s="71"/>
      <c r="F333" s="71"/>
      <c r="G333" s="71"/>
      <c r="H333" s="71"/>
      <c r="I333" s="71"/>
      <c r="J333" s="71"/>
    </row>
    <row r="334" spans="1:10">
      <c r="A334" s="71"/>
      <c r="B334" s="72"/>
      <c r="C334" s="71"/>
      <c r="D334" s="71"/>
      <c r="E334" s="71"/>
      <c r="F334" s="71"/>
      <c r="G334" s="71"/>
      <c r="H334" s="71"/>
      <c r="I334" s="71"/>
      <c r="J334" s="71"/>
    </row>
    <row r="335" spans="1:10">
      <c r="A335" s="71"/>
      <c r="B335" s="72"/>
      <c r="C335" s="71"/>
      <c r="D335" s="71"/>
      <c r="E335" s="71"/>
      <c r="F335" s="71"/>
      <c r="G335" s="71"/>
      <c r="H335" s="71"/>
      <c r="I335" s="71"/>
      <c r="J335" s="71"/>
    </row>
    <row r="336" spans="1:10">
      <c r="A336" s="71"/>
      <c r="B336" s="72"/>
      <c r="C336" s="71"/>
      <c r="D336" s="71"/>
      <c r="E336" s="71"/>
      <c r="F336" s="71"/>
      <c r="G336" s="71"/>
      <c r="H336" s="71"/>
      <c r="I336" s="71"/>
      <c r="J336" s="71"/>
    </row>
    <row r="337" spans="1:10">
      <c r="A337" s="71"/>
      <c r="B337" s="72"/>
      <c r="C337" s="71"/>
      <c r="D337" s="71"/>
      <c r="E337" s="71"/>
      <c r="F337" s="71"/>
      <c r="G337" s="71"/>
      <c r="H337" s="71"/>
      <c r="I337" s="71"/>
      <c r="J337" s="71"/>
    </row>
    <row r="338" spans="1:10">
      <c r="A338" s="71"/>
      <c r="B338" s="72"/>
      <c r="C338" s="71"/>
      <c r="D338" s="71"/>
      <c r="E338" s="71"/>
      <c r="F338" s="71"/>
      <c r="G338" s="71"/>
      <c r="H338" s="71"/>
      <c r="I338" s="71"/>
      <c r="J338" s="71"/>
    </row>
    <row r="339" spans="1:10">
      <c r="A339" s="71"/>
      <c r="B339" s="72"/>
      <c r="C339" s="71"/>
      <c r="D339" s="71"/>
      <c r="E339" s="71"/>
      <c r="F339" s="71"/>
      <c r="G339" s="71"/>
      <c r="H339" s="71"/>
      <c r="I339" s="71"/>
      <c r="J339" s="71"/>
    </row>
    <row r="340" spans="1:10">
      <c r="A340" s="71"/>
      <c r="B340" s="72"/>
      <c r="C340" s="71"/>
      <c r="D340" s="71"/>
      <c r="E340" s="71"/>
      <c r="F340" s="71"/>
      <c r="G340" s="71"/>
      <c r="H340" s="71"/>
      <c r="I340" s="71"/>
      <c r="J340" s="71"/>
    </row>
    <row r="341" spans="1:10">
      <c r="A341" s="71"/>
      <c r="B341" s="72"/>
      <c r="C341" s="71"/>
      <c r="D341" s="71"/>
      <c r="E341" s="71"/>
      <c r="F341" s="71"/>
      <c r="G341" s="71"/>
      <c r="H341" s="71"/>
      <c r="I341" s="71"/>
      <c r="J341" s="71"/>
    </row>
    <row r="342" spans="1:10">
      <c r="A342" s="71"/>
      <c r="B342" s="72"/>
      <c r="C342" s="71"/>
      <c r="D342" s="71"/>
      <c r="E342" s="71"/>
      <c r="F342" s="71"/>
      <c r="G342" s="71"/>
      <c r="H342" s="71"/>
      <c r="I342" s="71"/>
      <c r="J342" s="71"/>
    </row>
    <row r="343" spans="1:10">
      <c r="A343" s="71"/>
      <c r="B343" s="72"/>
      <c r="C343" s="71"/>
      <c r="D343" s="71"/>
      <c r="E343" s="71"/>
      <c r="F343" s="71"/>
      <c r="G343" s="71"/>
      <c r="H343" s="71"/>
      <c r="I343" s="71"/>
      <c r="J343" s="71"/>
    </row>
    <row r="344" spans="1:10">
      <c r="A344" s="71"/>
      <c r="B344" s="72"/>
      <c r="C344" s="71"/>
      <c r="D344" s="71"/>
      <c r="E344" s="71"/>
      <c r="F344" s="71"/>
      <c r="G344" s="71"/>
      <c r="H344" s="71"/>
      <c r="I344" s="71"/>
      <c r="J344" s="71"/>
    </row>
    <row r="345" spans="1:10">
      <c r="A345" s="71"/>
      <c r="B345" s="72"/>
      <c r="C345" s="71"/>
      <c r="D345" s="71"/>
      <c r="E345" s="71"/>
      <c r="F345" s="71"/>
      <c r="G345" s="71"/>
      <c r="H345" s="71"/>
      <c r="I345" s="71"/>
      <c r="J345" s="71"/>
    </row>
    <row r="346" spans="1:10">
      <c r="A346" s="71"/>
      <c r="B346" s="72"/>
      <c r="C346" s="71"/>
      <c r="D346" s="71"/>
      <c r="E346" s="71"/>
      <c r="F346" s="71"/>
      <c r="G346" s="71"/>
      <c r="H346" s="71"/>
      <c r="I346" s="71"/>
      <c r="J346" s="71"/>
    </row>
    <row r="347" spans="1:10">
      <c r="A347" s="71"/>
      <c r="B347" s="72"/>
      <c r="C347" s="71"/>
      <c r="D347" s="71"/>
      <c r="E347" s="71"/>
      <c r="F347" s="71"/>
      <c r="G347" s="71"/>
      <c r="H347" s="71"/>
      <c r="I347" s="71"/>
      <c r="J347" s="71"/>
    </row>
    <row r="348" spans="1:10">
      <c r="A348" s="71"/>
      <c r="B348" s="72"/>
      <c r="C348" s="71"/>
      <c r="D348" s="71"/>
      <c r="E348" s="71"/>
      <c r="F348" s="71"/>
      <c r="G348" s="71"/>
      <c r="H348" s="71"/>
      <c r="I348" s="71"/>
      <c r="J348" s="71"/>
    </row>
    <row r="349" spans="1:10">
      <c r="A349" s="71"/>
      <c r="B349" s="72"/>
      <c r="C349" s="71"/>
      <c r="D349" s="71"/>
      <c r="E349" s="71"/>
      <c r="F349" s="71"/>
      <c r="G349" s="71"/>
      <c r="H349" s="71"/>
      <c r="I349" s="71"/>
      <c r="J349" s="71"/>
    </row>
    <row r="350" spans="1:10">
      <c r="A350" s="71"/>
      <c r="B350" s="72"/>
      <c r="C350" s="71"/>
      <c r="D350" s="71"/>
      <c r="E350" s="71"/>
      <c r="F350" s="71"/>
      <c r="G350" s="71"/>
      <c r="H350" s="71"/>
      <c r="I350" s="71"/>
      <c r="J350" s="71"/>
    </row>
    <row r="351" spans="1:10">
      <c r="A351" s="71"/>
      <c r="B351" s="72"/>
      <c r="C351" s="71"/>
      <c r="D351" s="71"/>
      <c r="E351" s="71"/>
      <c r="F351" s="71"/>
      <c r="G351" s="71"/>
      <c r="H351" s="71"/>
      <c r="I351" s="71"/>
      <c r="J351" s="71"/>
    </row>
    <row r="352" spans="1:10">
      <c r="A352" s="71"/>
      <c r="B352" s="72"/>
      <c r="C352" s="71"/>
      <c r="D352" s="71"/>
      <c r="E352" s="71"/>
      <c r="F352" s="71"/>
      <c r="G352" s="71"/>
      <c r="H352" s="71"/>
      <c r="I352" s="71"/>
      <c r="J352" s="71"/>
    </row>
    <row r="353" spans="1:10">
      <c r="A353" s="71"/>
      <c r="B353" s="72"/>
      <c r="C353" s="71"/>
      <c r="D353" s="71"/>
      <c r="E353" s="71"/>
      <c r="F353" s="71"/>
      <c r="G353" s="71"/>
      <c r="H353" s="71"/>
      <c r="I353" s="71"/>
      <c r="J353" s="71"/>
    </row>
    <row r="354" spans="1:10">
      <c r="A354" s="71"/>
      <c r="B354" s="72"/>
      <c r="C354" s="71"/>
      <c r="D354" s="71"/>
      <c r="E354" s="71"/>
      <c r="F354" s="71"/>
      <c r="G354" s="71"/>
      <c r="H354" s="71"/>
      <c r="I354" s="71"/>
      <c r="J354" s="71"/>
    </row>
    <row r="355" spans="1:10">
      <c r="A355" s="71"/>
      <c r="B355" s="72"/>
      <c r="C355" s="71"/>
      <c r="D355" s="71"/>
      <c r="E355" s="71"/>
      <c r="F355" s="71"/>
      <c r="G355" s="71"/>
      <c r="H355" s="71"/>
      <c r="I355" s="71"/>
      <c r="J355" s="71"/>
    </row>
    <row r="356" spans="1:10">
      <c r="A356" s="71"/>
      <c r="B356" s="72"/>
      <c r="C356" s="71"/>
      <c r="D356" s="71"/>
      <c r="E356" s="71"/>
      <c r="F356" s="71"/>
      <c r="G356" s="71"/>
      <c r="H356" s="71"/>
      <c r="I356" s="71"/>
      <c r="J356" s="71"/>
    </row>
    <row r="357" spans="1:10">
      <c r="A357" s="71"/>
      <c r="B357" s="72"/>
      <c r="C357" s="71"/>
      <c r="D357" s="71"/>
      <c r="E357" s="71"/>
      <c r="F357" s="71"/>
      <c r="G357" s="71"/>
      <c r="H357" s="71"/>
      <c r="I357" s="71"/>
      <c r="J357" s="71"/>
    </row>
    <row r="358" spans="1:10">
      <c r="A358" s="71"/>
      <c r="B358" s="72"/>
      <c r="C358" s="71"/>
      <c r="D358" s="71"/>
      <c r="E358" s="71"/>
      <c r="F358" s="71"/>
      <c r="G358" s="71"/>
      <c r="H358" s="71"/>
      <c r="I358" s="71"/>
      <c r="J358" s="71"/>
    </row>
    <row r="359" spans="1:10">
      <c r="A359" s="71"/>
      <c r="B359" s="72"/>
      <c r="C359" s="71"/>
      <c r="D359" s="71"/>
      <c r="E359" s="71"/>
      <c r="F359" s="71"/>
      <c r="G359" s="71"/>
      <c r="H359" s="71"/>
      <c r="I359" s="71"/>
      <c r="J359" s="71"/>
    </row>
    <row r="360" spans="1:10">
      <c r="A360" s="71"/>
      <c r="B360" s="72"/>
      <c r="C360" s="71"/>
      <c r="D360" s="71"/>
      <c r="E360" s="71"/>
      <c r="F360" s="71"/>
      <c r="G360" s="71"/>
      <c r="H360" s="71"/>
      <c r="I360" s="71"/>
      <c r="J360" s="71"/>
    </row>
    <row r="361" spans="1:10">
      <c r="A361" s="71"/>
      <c r="B361" s="72"/>
      <c r="C361" s="71"/>
      <c r="D361" s="71"/>
      <c r="E361" s="71"/>
      <c r="F361" s="71"/>
      <c r="G361" s="71"/>
      <c r="H361" s="71"/>
      <c r="I361" s="71"/>
      <c r="J361" s="71"/>
    </row>
    <row r="362" spans="1:10">
      <c r="A362" s="71"/>
      <c r="B362" s="72"/>
      <c r="C362" s="71"/>
      <c r="D362" s="71"/>
      <c r="E362" s="71"/>
      <c r="F362" s="71"/>
      <c r="G362" s="71"/>
      <c r="H362" s="71"/>
      <c r="I362" s="71"/>
      <c r="J362" s="71"/>
    </row>
    <row r="363" spans="1:10">
      <c r="A363" s="71"/>
      <c r="B363" s="72"/>
      <c r="C363" s="71"/>
      <c r="D363" s="71"/>
      <c r="E363" s="71"/>
      <c r="F363" s="71"/>
      <c r="G363" s="71"/>
      <c r="H363" s="71"/>
      <c r="I363" s="71"/>
      <c r="J363" s="71"/>
    </row>
    <row r="364" spans="1:10">
      <c r="A364" s="71"/>
      <c r="B364" s="72"/>
      <c r="C364" s="71"/>
      <c r="D364" s="71"/>
      <c r="E364" s="71"/>
      <c r="F364" s="71"/>
      <c r="G364" s="71"/>
      <c r="H364" s="71"/>
      <c r="I364" s="71"/>
      <c r="J364" s="71"/>
    </row>
    <row r="365" spans="1:10">
      <c r="A365" s="71"/>
      <c r="B365" s="72"/>
      <c r="C365" s="71"/>
      <c r="D365" s="71"/>
      <c r="E365" s="71"/>
      <c r="F365" s="71"/>
      <c r="G365" s="71"/>
      <c r="H365" s="71"/>
      <c r="I365" s="71"/>
      <c r="J365" s="71"/>
    </row>
    <row r="366" spans="1:10">
      <c r="A366" s="71"/>
      <c r="B366" s="72"/>
      <c r="C366" s="71"/>
      <c r="D366" s="71"/>
      <c r="E366" s="71"/>
      <c r="F366" s="71"/>
      <c r="G366" s="71"/>
      <c r="H366" s="71"/>
      <c r="I366" s="71"/>
      <c r="J366" s="71"/>
    </row>
    <row r="367" spans="1:10">
      <c r="A367" s="71"/>
      <c r="B367" s="72"/>
      <c r="C367" s="71"/>
      <c r="D367" s="71"/>
      <c r="E367" s="71"/>
      <c r="F367" s="71"/>
      <c r="G367" s="71"/>
      <c r="H367" s="71"/>
      <c r="I367" s="71"/>
      <c r="J367" s="71"/>
    </row>
    <row r="368" spans="1:10">
      <c r="A368" s="71"/>
      <c r="B368" s="72"/>
      <c r="C368" s="71"/>
      <c r="D368" s="71"/>
      <c r="E368" s="71"/>
      <c r="F368" s="71"/>
      <c r="G368" s="71"/>
      <c r="H368" s="71"/>
      <c r="I368" s="71"/>
      <c r="J368" s="71"/>
    </row>
    <row r="369" spans="1:10">
      <c r="A369" s="71"/>
      <c r="B369" s="72"/>
      <c r="C369" s="71"/>
      <c r="D369" s="71"/>
      <c r="E369" s="71"/>
      <c r="F369" s="71"/>
      <c r="G369" s="71"/>
      <c r="H369" s="71"/>
      <c r="I369" s="71"/>
      <c r="J369" s="71"/>
    </row>
    <row r="370" spans="1:10">
      <c r="A370" s="71"/>
      <c r="B370" s="72"/>
      <c r="C370" s="71"/>
      <c r="D370" s="71"/>
      <c r="E370" s="71"/>
      <c r="F370" s="71"/>
      <c r="G370" s="71"/>
      <c r="H370" s="71"/>
      <c r="I370" s="71"/>
      <c r="J370" s="71"/>
    </row>
    <row r="371" spans="1:10">
      <c r="A371" s="71"/>
      <c r="B371" s="72"/>
      <c r="C371" s="71"/>
      <c r="D371" s="71"/>
      <c r="E371" s="71"/>
      <c r="F371" s="71"/>
      <c r="G371" s="71"/>
      <c r="H371" s="71"/>
      <c r="I371" s="71"/>
      <c r="J371" s="71"/>
    </row>
    <row r="372" spans="1:10">
      <c r="A372" s="71"/>
      <c r="B372" s="72"/>
      <c r="C372" s="71"/>
      <c r="D372" s="71"/>
      <c r="E372" s="71"/>
      <c r="F372" s="71"/>
      <c r="G372" s="71"/>
      <c r="H372" s="71"/>
      <c r="I372" s="71"/>
      <c r="J372" s="71"/>
    </row>
    <row r="373" spans="1:10">
      <c r="A373" s="71"/>
      <c r="B373" s="72"/>
      <c r="C373" s="71"/>
      <c r="D373" s="71"/>
      <c r="E373" s="71"/>
      <c r="F373" s="71"/>
      <c r="G373" s="71"/>
      <c r="H373" s="71"/>
      <c r="I373" s="71"/>
      <c r="J373" s="71"/>
    </row>
    <row r="374" spans="1:10">
      <c r="A374" s="71"/>
      <c r="B374" s="72"/>
      <c r="C374" s="71"/>
      <c r="D374" s="71"/>
      <c r="E374" s="71"/>
      <c r="F374" s="71"/>
      <c r="G374" s="71"/>
      <c r="H374" s="71"/>
      <c r="I374" s="71"/>
      <c r="J374" s="71"/>
    </row>
    <row r="375" spans="1:10">
      <c r="A375" s="71"/>
      <c r="B375" s="72"/>
      <c r="C375" s="71"/>
      <c r="D375" s="71"/>
      <c r="E375" s="71"/>
      <c r="F375" s="71"/>
      <c r="G375" s="71"/>
      <c r="H375" s="71"/>
      <c r="I375" s="71"/>
      <c r="J375" s="71"/>
    </row>
    <row r="376" spans="1:10">
      <c r="A376" s="71"/>
      <c r="B376" s="72"/>
      <c r="C376" s="71"/>
      <c r="D376" s="71"/>
      <c r="E376" s="71"/>
      <c r="F376" s="71"/>
      <c r="G376" s="71"/>
      <c r="H376" s="71"/>
      <c r="I376" s="71"/>
      <c r="J376" s="71"/>
    </row>
    <row r="377" spans="1:10">
      <c r="A377" s="71"/>
      <c r="B377" s="72"/>
      <c r="C377" s="71"/>
      <c r="D377" s="71"/>
      <c r="E377" s="71"/>
      <c r="F377" s="71"/>
      <c r="G377" s="71"/>
      <c r="H377" s="71"/>
      <c r="I377" s="71"/>
      <c r="J377" s="71"/>
    </row>
    <row r="378" spans="1:10">
      <c r="A378" s="71"/>
      <c r="B378" s="72"/>
      <c r="C378" s="71"/>
      <c r="D378" s="71"/>
      <c r="E378" s="71"/>
      <c r="F378" s="71"/>
      <c r="G378" s="71"/>
      <c r="H378" s="71"/>
      <c r="I378" s="71"/>
      <c r="J378" s="71"/>
    </row>
    <row r="379" spans="1:10">
      <c r="A379" s="71"/>
      <c r="B379" s="72"/>
      <c r="C379" s="71"/>
      <c r="D379" s="71"/>
      <c r="E379" s="71"/>
      <c r="F379" s="71"/>
      <c r="G379" s="71"/>
      <c r="H379" s="71"/>
      <c r="I379" s="71"/>
      <c r="J379" s="71"/>
    </row>
    <row r="380" spans="1:10">
      <c r="A380" s="71"/>
      <c r="B380" s="72"/>
      <c r="C380" s="71"/>
      <c r="D380" s="71"/>
      <c r="E380" s="71"/>
      <c r="F380" s="71"/>
      <c r="G380" s="71"/>
      <c r="H380" s="71"/>
      <c r="I380" s="71"/>
      <c r="J380" s="71"/>
    </row>
    <row r="381" spans="1:10">
      <c r="A381" s="71"/>
      <c r="B381" s="72"/>
      <c r="C381" s="71"/>
      <c r="D381" s="71"/>
      <c r="E381" s="71"/>
      <c r="F381" s="71"/>
      <c r="G381" s="71"/>
      <c r="H381" s="71"/>
      <c r="I381" s="71"/>
      <c r="J381" s="71"/>
    </row>
    <row r="382" spans="1:10">
      <c r="A382" s="71"/>
      <c r="B382" s="72"/>
      <c r="C382" s="71"/>
      <c r="D382" s="71"/>
      <c r="E382" s="71"/>
      <c r="F382" s="71"/>
      <c r="G382" s="71"/>
      <c r="H382" s="71"/>
      <c r="I382" s="71"/>
      <c r="J382" s="71"/>
    </row>
    <row r="383" spans="1:10">
      <c r="A383" s="71"/>
      <c r="B383" s="72"/>
      <c r="C383" s="71"/>
      <c r="D383" s="71"/>
      <c r="E383" s="71"/>
      <c r="F383" s="71"/>
      <c r="G383" s="71"/>
      <c r="H383" s="71"/>
      <c r="I383" s="71"/>
      <c r="J383" s="71"/>
    </row>
    <row r="384" spans="1:10">
      <c r="A384" s="71"/>
      <c r="B384" s="72"/>
      <c r="C384" s="71"/>
      <c r="D384" s="71"/>
      <c r="E384" s="71"/>
      <c r="F384" s="71"/>
      <c r="G384" s="71"/>
      <c r="H384" s="71"/>
      <c r="I384" s="71"/>
      <c r="J384" s="71"/>
    </row>
    <row r="385" spans="1:10">
      <c r="A385" s="71"/>
      <c r="B385" s="72"/>
      <c r="C385" s="71"/>
      <c r="D385" s="71"/>
      <c r="E385" s="71"/>
      <c r="F385" s="71"/>
      <c r="G385" s="71"/>
      <c r="H385" s="71"/>
      <c r="I385" s="71"/>
      <c r="J385" s="71"/>
    </row>
    <row r="386" spans="1:10">
      <c r="A386" s="71"/>
      <c r="B386" s="72"/>
      <c r="C386" s="71"/>
      <c r="D386" s="71"/>
      <c r="E386" s="71"/>
      <c r="F386" s="71"/>
      <c r="G386" s="71"/>
      <c r="H386" s="71"/>
      <c r="I386" s="71"/>
      <c r="J386" s="71"/>
    </row>
    <row r="387" spans="1:10">
      <c r="A387" s="71"/>
      <c r="B387" s="72"/>
      <c r="C387" s="71"/>
      <c r="D387" s="71"/>
      <c r="E387" s="71"/>
      <c r="F387" s="71"/>
      <c r="G387" s="71"/>
      <c r="H387" s="71"/>
      <c r="I387" s="71"/>
      <c r="J387" s="71"/>
    </row>
    <row r="388" spans="1:10">
      <c r="A388" s="71"/>
      <c r="B388" s="72"/>
      <c r="C388" s="71"/>
      <c r="D388" s="71"/>
      <c r="E388" s="71"/>
      <c r="F388" s="71"/>
      <c r="G388" s="71"/>
      <c r="H388" s="71"/>
      <c r="I388" s="71"/>
      <c r="J388" s="71"/>
    </row>
    <row r="389" spans="1:10">
      <c r="A389" s="71"/>
      <c r="B389" s="72"/>
      <c r="C389" s="71"/>
      <c r="D389" s="71"/>
      <c r="E389" s="71"/>
      <c r="F389" s="71"/>
      <c r="G389" s="71"/>
      <c r="H389" s="71"/>
      <c r="I389" s="71"/>
      <c r="J389" s="71"/>
    </row>
    <row r="390" spans="1:10">
      <c r="A390" s="71"/>
      <c r="B390" s="72"/>
      <c r="C390" s="71"/>
      <c r="D390" s="71"/>
      <c r="E390" s="71"/>
      <c r="F390" s="71"/>
      <c r="G390" s="71"/>
      <c r="H390" s="71"/>
      <c r="I390" s="71"/>
      <c r="J390" s="71"/>
    </row>
    <row r="391" spans="1:10">
      <c r="A391" s="71"/>
      <c r="B391" s="72"/>
      <c r="C391" s="71"/>
      <c r="D391" s="71"/>
      <c r="E391" s="71"/>
      <c r="F391" s="71"/>
      <c r="G391" s="71"/>
      <c r="H391" s="71"/>
      <c r="I391" s="71"/>
      <c r="J391" s="71"/>
    </row>
    <row r="392" spans="1:10">
      <c r="A392" s="71"/>
      <c r="B392" s="72"/>
      <c r="C392" s="71"/>
      <c r="D392" s="71"/>
      <c r="E392" s="71"/>
      <c r="F392" s="71"/>
      <c r="G392" s="71"/>
      <c r="H392" s="71"/>
      <c r="I392" s="71"/>
      <c r="J392" s="71"/>
    </row>
    <row r="393" spans="1:10">
      <c r="A393" s="71"/>
      <c r="B393" s="72"/>
      <c r="C393" s="71"/>
      <c r="D393" s="71"/>
      <c r="E393" s="71"/>
      <c r="F393" s="71"/>
      <c r="G393" s="71"/>
      <c r="H393" s="71"/>
      <c r="I393" s="71"/>
      <c r="J393" s="71"/>
    </row>
    <row r="394" spans="1:10">
      <c r="A394" s="71"/>
      <c r="B394" s="72"/>
      <c r="C394" s="71"/>
      <c r="D394" s="71"/>
      <c r="E394" s="71"/>
      <c r="F394" s="71"/>
      <c r="G394" s="71"/>
      <c r="H394" s="71"/>
      <c r="I394" s="71"/>
      <c r="J394" s="71"/>
    </row>
    <row r="395" spans="1:10">
      <c r="A395" s="71"/>
      <c r="B395" s="72"/>
      <c r="C395" s="71"/>
      <c r="D395" s="71"/>
      <c r="E395" s="71"/>
      <c r="F395" s="71"/>
      <c r="G395" s="71"/>
      <c r="H395" s="71"/>
      <c r="I395" s="71"/>
      <c r="J395" s="71"/>
    </row>
    <row r="396" spans="1:10">
      <c r="A396" s="71"/>
      <c r="B396" s="72"/>
      <c r="C396" s="71"/>
      <c r="D396" s="71"/>
      <c r="E396" s="71"/>
      <c r="F396" s="71"/>
      <c r="G396" s="71"/>
      <c r="H396" s="71"/>
      <c r="I396" s="71"/>
      <c r="J396" s="71"/>
    </row>
    <row r="397" spans="1:10">
      <c r="A397" s="71"/>
      <c r="B397" s="72"/>
      <c r="C397" s="71"/>
      <c r="D397" s="71"/>
      <c r="E397" s="71"/>
      <c r="F397" s="71"/>
      <c r="G397" s="71"/>
      <c r="H397" s="71"/>
      <c r="I397" s="71"/>
      <c r="J397" s="71"/>
    </row>
    <row r="398" spans="1:10">
      <c r="A398" s="71"/>
      <c r="B398" s="72"/>
      <c r="C398" s="71"/>
      <c r="D398" s="71"/>
      <c r="E398" s="71"/>
      <c r="F398" s="71"/>
      <c r="G398" s="71"/>
      <c r="H398" s="71"/>
      <c r="I398" s="71"/>
      <c r="J398" s="71"/>
    </row>
    <row r="399" spans="1:10">
      <c r="A399" s="71"/>
      <c r="B399" s="72"/>
      <c r="C399" s="71"/>
      <c r="D399" s="71"/>
      <c r="E399" s="71"/>
      <c r="F399" s="71"/>
      <c r="G399" s="71"/>
      <c r="H399" s="71"/>
      <c r="I399" s="71"/>
      <c r="J399" s="71"/>
    </row>
    <row r="400" spans="1:10">
      <c r="A400" s="71"/>
      <c r="B400" s="72"/>
      <c r="C400" s="71"/>
      <c r="D400" s="71"/>
      <c r="E400" s="71"/>
      <c r="F400" s="71"/>
      <c r="G400" s="71"/>
      <c r="H400" s="71"/>
      <c r="I400" s="71"/>
      <c r="J400" s="71"/>
    </row>
    <row r="401" spans="1:10">
      <c r="A401" s="71"/>
      <c r="B401" s="72"/>
      <c r="C401" s="71"/>
      <c r="D401" s="71"/>
      <c r="E401" s="71"/>
      <c r="F401" s="71"/>
      <c r="G401" s="71"/>
      <c r="H401" s="71"/>
      <c r="I401" s="71"/>
      <c r="J401" s="71"/>
    </row>
    <row r="402" spans="1:10">
      <c r="A402" s="71"/>
      <c r="B402" s="72"/>
      <c r="C402" s="71"/>
      <c r="D402" s="71"/>
      <c r="E402" s="71"/>
      <c r="F402" s="71"/>
      <c r="G402" s="71"/>
      <c r="H402" s="71"/>
      <c r="I402" s="71"/>
      <c r="J402" s="71"/>
    </row>
    <row r="403" spans="1:10">
      <c r="A403" s="71"/>
      <c r="B403" s="72"/>
      <c r="C403" s="71"/>
      <c r="D403" s="71"/>
      <c r="E403" s="71"/>
      <c r="F403" s="71"/>
      <c r="G403" s="71"/>
      <c r="H403" s="71"/>
      <c r="I403" s="71"/>
      <c r="J403" s="71"/>
    </row>
    <row r="404" spans="1:10">
      <c r="A404" s="71"/>
      <c r="B404" s="72"/>
      <c r="C404" s="71"/>
      <c r="D404" s="71"/>
      <c r="E404" s="71"/>
      <c r="F404" s="71"/>
      <c r="G404" s="71"/>
      <c r="H404" s="71"/>
      <c r="I404" s="71"/>
      <c r="J404" s="71"/>
    </row>
    <row r="405" spans="1:10">
      <c r="A405" s="71"/>
      <c r="B405" s="72"/>
      <c r="C405" s="71"/>
      <c r="D405" s="71"/>
      <c r="E405" s="71"/>
      <c r="F405" s="71"/>
      <c r="G405" s="71"/>
      <c r="H405" s="71"/>
      <c r="I405" s="71"/>
      <c r="J405" s="71"/>
    </row>
    <row r="406" spans="1:10">
      <c r="A406" s="71"/>
      <c r="B406" s="72"/>
      <c r="C406" s="71"/>
      <c r="D406" s="71"/>
      <c r="E406" s="71"/>
      <c r="F406" s="71"/>
      <c r="G406" s="71"/>
      <c r="H406" s="71"/>
      <c r="I406" s="71"/>
      <c r="J406" s="71"/>
    </row>
    <row r="407" spans="1:10">
      <c r="A407" s="71"/>
      <c r="B407" s="72"/>
      <c r="C407" s="71"/>
      <c r="D407" s="71"/>
      <c r="E407" s="71"/>
      <c r="F407" s="71"/>
      <c r="G407" s="71"/>
      <c r="H407" s="71"/>
      <c r="I407" s="71"/>
      <c r="J407" s="71"/>
    </row>
    <row r="408" spans="1:10">
      <c r="A408" s="71"/>
      <c r="B408" s="72"/>
      <c r="C408" s="71"/>
      <c r="D408" s="71"/>
      <c r="E408" s="71"/>
      <c r="F408" s="71"/>
      <c r="G408" s="71"/>
      <c r="H408" s="71"/>
      <c r="I408" s="71"/>
      <c r="J408" s="71"/>
    </row>
    <row r="409" spans="1:10">
      <c r="A409" s="71"/>
      <c r="B409" s="72"/>
      <c r="C409" s="71"/>
      <c r="D409" s="71"/>
      <c r="E409" s="71"/>
      <c r="F409" s="71"/>
      <c r="G409" s="71"/>
      <c r="H409" s="71"/>
      <c r="I409" s="71"/>
      <c r="J409" s="71"/>
    </row>
    <row r="410" spans="1:10">
      <c r="A410" s="71"/>
      <c r="B410" s="72"/>
      <c r="C410" s="71"/>
      <c r="D410" s="71"/>
      <c r="E410" s="71"/>
      <c r="F410" s="71"/>
      <c r="G410" s="71"/>
      <c r="H410" s="71"/>
      <c r="I410" s="71"/>
      <c r="J410" s="71"/>
    </row>
    <row r="411" spans="1:10">
      <c r="A411" s="71"/>
      <c r="B411" s="72"/>
      <c r="C411" s="71"/>
      <c r="D411" s="71"/>
      <c r="E411" s="71"/>
      <c r="F411" s="71"/>
      <c r="G411" s="71"/>
      <c r="H411" s="71"/>
      <c r="I411" s="71"/>
      <c r="J411" s="71"/>
    </row>
    <row r="412" spans="1:10">
      <c r="A412" s="71"/>
      <c r="B412" s="72"/>
      <c r="C412" s="71"/>
      <c r="D412" s="71"/>
      <c r="E412" s="71"/>
      <c r="F412" s="71"/>
      <c r="G412" s="71"/>
      <c r="H412" s="71"/>
      <c r="I412" s="71"/>
      <c r="J412" s="71"/>
    </row>
    <row r="413" spans="1:10">
      <c r="A413" s="71"/>
      <c r="B413" s="72"/>
      <c r="C413" s="71"/>
      <c r="D413" s="71"/>
      <c r="E413" s="71"/>
      <c r="F413" s="71"/>
      <c r="G413" s="71"/>
      <c r="H413" s="71"/>
      <c r="I413" s="71"/>
      <c r="J413" s="71"/>
    </row>
    <row r="414" spans="1:10">
      <c r="A414" s="71"/>
      <c r="B414" s="72"/>
      <c r="C414" s="71"/>
      <c r="D414" s="71"/>
      <c r="E414" s="71"/>
      <c r="F414" s="71"/>
      <c r="G414" s="71"/>
      <c r="H414" s="71"/>
      <c r="I414" s="71"/>
      <c r="J414" s="71"/>
    </row>
    <row r="415" spans="1:10">
      <c r="A415" s="71"/>
      <c r="B415" s="72"/>
      <c r="C415" s="71"/>
      <c r="D415" s="71"/>
      <c r="E415" s="71"/>
      <c r="F415" s="71"/>
      <c r="G415" s="71"/>
      <c r="H415" s="71"/>
      <c r="I415" s="71"/>
      <c r="J415" s="71"/>
    </row>
    <row r="416" spans="1:10">
      <c r="A416" s="71"/>
      <c r="B416" s="72"/>
      <c r="C416" s="71"/>
      <c r="D416" s="71"/>
      <c r="E416" s="71"/>
      <c r="F416" s="71"/>
      <c r="G416" s="71"/>
      <c r="H416" s="71"/>
      <c r="I416" s="71"/>
      <c r="J416" s="71"/>
    </row>
    <row r="417" spans="1:10">
      <c r="A417" s="71"/>
      <c r="B417" s="72"/>
      <c r="C417" s="71"/>
      <c r="D417" s="71"/>
      <c r="E417" s="71"/>
      <c r="F417" s="71"/>
      <c r="G417" s="71"/>
      <c r="H417" s="71"/>
      <c r="I417" s="71"/>
      <c r="J417" s="71"/>
    </row>
    <row r="418" spans="1:10">
      <c r="A418" s="71"/>
      <c r="B418" s="72"/>
      <c r="C418" s="71"/>
      <c r="D418" s="71"/>
      <c r="E418" s="71"/>
      <c r="F418" s="71"/>
      <c r="G418" s="71"/>
      <c r="H418" s="71"/>
      <c r="I418" s="71"/>
      <c r="J418" s="71"/>
    </row>
    <row r="419" spans="1:10">
      <c r="A419" s="71"/>
      <c r="B419" s="72"/>
      <c r="C419" s="71"/>
      <c r="D419" s="71"/>
      <c r="E419" s="71"/>
      <c r="F419" s="71"/>
      <c r="G419" s="71"/>
      <c r="H419" s="71"/>
      <c r="I419" s="71"/>
      <c r="J419" s="71"/>
    </row>
    <row r="420" spans="1:10">
      <c r="A420" s="71"/>
      <c r="B420" s="72"/>
      <c r="C420" s="71"/>
      <c r="D420" s="71"/>
      <c r="E420" s="71"/>
      <c r="F420" s="71"/>
      <c r="G420" s="71"/>
      <c r="H420" s="71"/>
      <c r="I420" s="71"/>
      <c r="J420" s="71"/>
    </row>
    <row r="421" spans="1:10">
      <c r="A421" s="71"/>
      <c r="B421" s="72"/>
      <c r="C421" s="71"/>
      <c r="D421" s="71"/>
      <c r="E421" s="71"/>
      <c r="F421" s="71"/>
      <c r="G421" s="71"/>
      <c r="H421" s="71"/>
      <c r="I421" s="71"/>
      <c r="J421" s="71"/>
    </row>
    <row r="422" spans="1:10">
      <c r="A422" s="71"/>
      <c r="B422" s="72"/>
      <c r="C422" s="71"/>
      <c r="D422" s="71"/>
      <c r="E422" s="71"/>
      <c r="F422" s="71"/>
      <c r="G422" s="71"/>
      <c r="H422" s="71"/>
      <c r="I422" s="71"/>
      <c r="J422" s="71"/>
    </row>
    <row r="423" spans="1:10">
      <c r="A423" s="71"/>
      <c r="B423" s="72"/>
      <c r="C423" s="71"/>
      <c r="D423" s="71"/>
      <c r="E423" s="71"/>
      <c r="F423" s="71"/>
      <c r="G423" s="71"/>
      <c r="H423" s="71"/>
      <c r="I423" s="71"/>
      <c r="J423" s="71"/>
    </row>
    <row r="424" spans="1:10">
      <c r="A424" s="71"/>
      <c r="B424" s="72"/>
      <c r="C424" s="71"/>
      <c r="D424" s="71"/>
      <c r="E424" s="71"/>
      <c r="F424" s="71"/>
      <c r="G424" s="71"/>
      <c r="H424" s="71"/>
      <c r="I424" s="71"/>
      <c r="J424" s="71"/>
    </row>
    <row r="425" spans="1:10">
      <c r="A425" s="71"/>
      <c r="B425" s="72"/>
      <c r="C425" s="71"/>
      <c r="D425" s="71"/>
      <c r="E425" s="71"/>
      <c r="F425" s="71"/>
      <c r="G425" s="71"/>
      <c r="H425" s="71"/>
      <c r="I425" s="71"/>
      <c r="J425" s="71"/>
    </row>
    <row r="426" spans="1:10">
      <c r="A426" s="71"/>
      <c r="B426" s="72"/>
      <c r="C426" s="71"/>
      <c r="D426" s="71"/>
      <c r="E426" s="71"/>
      <c r="F426" s="71"/>
      <c r="G426" s="71"/>
      <c r="H426" s="71"/>
      <c r="I426" s="71"/>
      <c r="J426" s="71"/>
    </row>
    <row r="427" spans="1:10">
      <c r="A427" s="71"/>
      <c r="B427" s="72"/>
      <c r="C427" s="71"/>
      <c r="D427" s="71"/>
      <c r="E427" s="71"/>
      <c r="F427" s="71"/>
      <c r="G427" s="71"/>
      <c r="H427" s="71"/>
      <c r="I427" s="71"/>
      <c r="J427" s="71"/>
    </row>
    <row r="428" spans="1:10">
      <c r="A428" s="71"/>
      <c r="B428" s="72"/>
      <c r="C428" s="71"/>
      <c r="D428" s="71"/>
      <c r="E428" s="71"/>
      <c r="F428" s="71"/>
      <c r="G428" s="71"/>
      <c r="H428" s="71"/>
      <c r="I428" s="71"/>
      <c r="J428" s="71"/>
    </row>
    <row r="429" spans="1:10">
      <c r="A429" s="71"/>
      <c r="B429" s="72"/>
      <c r="C429" s="71"/>
      <c r="D429" s="71"/>
      <c r="E429" s="71"/>
      <c r="F429" s="71"/>
      <c r="G429" s="71"/>
      <c r="H429" s="71"/>
      <c r="I429" s="71"/>
      <c r="J429" s="71"/>
    </row>
    <row r="430" spans="1:10">
      <c r="A430" s="71"/>
      <c r="B430" s="72"/>
      <c r="C430" s="71"/>
      <c r="D430" s="71"/>
      <c r="E430" s="71"/>
      <c r="F430" s="71"/>
      <c r="G430" s="71"/>
      <c r="H430" s="71"/>
      <c r="I430" s="71"/>
      <c r="J430" s="71"/>
    </row>
    <row r="431" spans="1:10">
      <c r="A431" s="71"/>
      <c r="B431" s="72"/>
      <c r="C431" s="71"/>
      <c r="D431" s="71"/>
      <c r="E431" s="71"/>
      <c r="F431" s="71"/>
      <c r="G431" s="71"/>
      <c r="H431" s="71"/>
      <c r="I431" s="71"/>
      <c r="J431" s="71"/>
    </row>
    <row r="432" spans="1:10">
      <c r="A432" s="71"/>
      <c r="B432" s="72"/>
      <c r="C432" s="71"/>
      <c r="D432" s="71"/>
      <c r="E432" s="71"/>
      <c r="F432" s="71"/>
      <c r="G432" s="71"/>
      <c r="H432" s="71"/>
      <c r="I432" s="71"/>
      <c r="J432" s="71"/>
    </row>
    <row r="433" spans="1:10">
      <c r="A433" s="71"/>
      <c r="B433" s="72"/>
      <c r="C433" s="71"/>
      <c r="D433" s="71"/>
      <c r="E433" s="71"/>
      <c r="F433" s="71"/>
      <c r="G433" s="71"/>
      <c r="H433" s="71"/>
      <c r="I433" s="71"/>
      <c r="J433" s="71"/>
    </row>
    <row r="434" spans="1:10">
      <c r="A434" s="71"/>
      <c r="B434" s="72"/>
      <c r="C434" s="71"/>
      <c r="D434" s="71"/>
      <c r="E434" s="71"/>
      <c r="F434" s="71"/>
      <c r="G434" s="71"/>
      <c r="H434" s="71"/>
      <c r="I434" s="71"/>
      <c r="J434" s="71"/>
    </row>
    <row r="435" spans="1:10">
      <c r="A435" s="71"/>
      <c r="B435" s="72"/>
      <c r="C435" s="71"/>
      <c r="D435" s="71"/>
      <c r="E435" s="71"/>
      <c r="F435" s="71"/>
      <c r="G435" s="71"/>
      <c r="H435" s="71"/>
      <c r="I435" s="71"/>
      <c r="J435" s="71"/>
    </row>
    <row r="436" spans="1:10">
      <c r="A436" s="71"/>
      <c r="B436" s="72"/>
      <c r="C436" s="71"/>
      <c r="D436" s="71"/>
      <c r="E436" s="71"/>
      <c r="F436" s="71"/>
      <c r="G436" s="71"/>
      <c r="H436" s="71"/>
      <c r="I436" s="71"/>
      <c r="J436" s="71"/>
    </row>
    <row r="437" spans="1:10">
      <c r="A437" s="71"/>
      <c r="B437" s="72"/>
      <c r="C437" s="71"/>
      <c r="D437" s="71"/>
      <c r="E437" s="71"/>
      <c r="F437" s="71"/>
      <c r="G437" s="71"/>
      <c r="H437" s="71"/>
      <c r="I437" s="71"/>
      <c r="J437" s="71"/>
    </row>
    <row r="438" spans="1:10">
      <c r="A438" s="71"/>
      <c r="B438" s="72"/>
      <c r="C438" s="71"/>
      <c r="D438" s="71"/>
      <c r="E438" s="71"/>
      <c r="F438" s="71"/>
      <c r="G438" s="71"/>
      <c r="H438" s="71"/>
      <c r="I438" s="71"/>
      <c r="J438" s="71"/>
    </row>
    <row r="439" spans="1:10">
      <c r="A439" s="71"/>
      <c r="B439" s="72"/>
      <c r="C439" s="71"/>
      <c r="D439" s="71"/>
      <c r="E439" s="71"/>
      <c r="F439" s="71"/>
      <c r="G439" s="71"/>
      <c r="H439" s="71"/>
      <c r="I439" s="71"/>
      <c r="J439" s="71"/>
    </row>
    <row r="440" spans="1:10">
      <c r="A440" s="71"/>
      <c r="B440" s="72"/>
      <c r="C440" s="71"/>
      <c r="D440" s="71"/>
      <c r="E440" s="71"/>
      <c r="F440" s="71"/>
      <c r="G440" s="71"/>
      <c r="H440" s="71"/>
      <c r="I440" s="71"/>
      <c r="J440" s="71"/>
    </row>
    <row r="441" spans="1:10">
      <c r="A441" s="71"/>
      <c r="B441" s="72"/>
      <c r="C441" s="71"/>
      <c r="D441" s="71"/>
      <c r="E441" s="71"/>
      <c r="F441" s="71"/>
      <c r="G441" s="71"/>
      <c r="H441" s="71"/>
      <c r="I441" s="71"/>
      <c r="J441" s="71"/>
    </row>
    <row r="442" spans="1:10">
      <c r="A442" s="71"/>
      <c r="B442" s="72"/>
      <c r="C442" s="71"/>
      <c r="D442" s="71"/>
      <c r="E442" s="71"/>
      <c r="F442" s="71"/>
      <c r="G442" s="71"/>
      <c r="H442" s="71"/>
      <c r="I442" s="71"/>
      <c r="J442" s="71"/>
    </row>
    <row r="443" spans="1:10">
      <c r="A443" s="71"/>
      <c r="B443" s="72"/>
      <c r="C443" s="71"/>
      <c r="D443" s="71"/>
      <c r="E443" s="71"/>
      <c r="F443" s="71"/>
      <c r="G443" s="71"/>
      <c r="H443" s="71"/>
      <c r="I443" s="71"/>
      <c r="J443" s="71"/>
    </row>
    <row r="444" spans="1:10">
      <c r="A444" s="71"/>
      <c r="B444" s="72"/>
      <c r="C444" s="71"/>
      <c r="D444" s="71"/>
      <c r="E444" s="71"/>
      <c r="F444" s="71"/>
      <c r="G444" s="71"/>
      <c r="H444" s="71"/>
      <c r="I444" s="71"/>
      <c r="J444" s="71"/>
    </row>
    <row r="445" spans="1:10">
      <c r="A445" s="71"/>
      <c r="B445" s="72"/>
      <c r="C445" s="71"/>
      <c r="D445" s="71"/>
      <c r="E445" s="71"/>
      <c r="F445" s="71"/>
      <c r="G445" s="71"/>
      <c r="H445" s="71"/>
      <c r="I445" s="71"/>
      <c r="J445" s="71"/>
    </row>
    <row r="446" spans="1:10">
      <c r="A446" s="71"/>
      <c r="B446" s="72"/>
      <c r="C446" s="71"/>
      <c r="D446" s="71"/>
      <c r="E446" s="71"/>
      <c r="F446" s="71"/>
      <c r="G446" s="71"/>
      <c r="H446" s="71"/>
      <c r="I446" s="71"/>
      <c r="J446" s="71"/>
    </row>
    <row r="447" spans="1:10">
      <c r="A447" s="71"/>
      <c r="B447" s="72"/>
      <c r="C447" s="71"/>
      <c r="D447" s="71"/>
      <c r="E447" s="71"/>
      <c r="F447" s="71"/>
      <c r="G447" s="71"/>
      <c r="H447" s="71"/>
      <c r="I447" s="71"/>
      <c r="J447" s="71"/>
    </row>
    <row r="448" spans="1:10">
      <c r="A448" s="71"/>
      <c r="B448" s="72"/>
      <c r="C448" s="71"/>
      <c r="D448" s="71"/>
      <c r="E448" s="71"/>
      <c r="F448" s="71"/>
      <c r="G448" s="71"/>
      <c r="H448" s="71"/>
      <c r="I448" s="71"/>
      <c r="J448" s="71"/>
    </row>
    <row r="449" spans="1:10">
      <c r="A449" s="71"/>
      <c r="B449" s="72"/>
      <c r="C449" s="71"/>
      <c r="D449" s="71"/>
      <c r="E449" s="71"/>
      <c r="F449" s="71"/>
      <c r="G449" s="71"/>
      <c r="H449" s="71"/>
      <c r="I449" s="71"/>
      <c r="J449" s="71"/>
    </row>
    <row r="450" spans="1:10">
      <c r="A450" s="71"/>
      <c r="B450" s="72"/>
      <c r="C450" s="71"/>
      <c r="D450" s="71"/>
      <c r="E450" s="71"/>
      <c r="F450" s="71"/>
      <c r="G450" s="71"/>
      <c r="H450" s="71"/>
      <c r="I450" s="71"/>
      <c r="J450" s="71"/>
    </row>
    <row r="451" spans="1:10">
      <c r="A451" s="71"/>
      <c r="B451" s="72"/>
      <c r="C451" s="71"/>
      <c r="D451" s="71"/>
      <c r="E451" s="71"/>
      <c r="F451" s="71"/>
      <c r="G451" s="71"/>
      <c r="H451" s="71"/>
      <c r="I451" s="71"/>
      <c r="J451" s="71"/>
    </row>
    <row r="452" spans="1:10">
      <c r="A452" s="71"/>
      <c r="B452" s="72"/>
      <c r="C452" s="71"/>
      <c r="D452" s="71"/>
      <c r="E452" s="71"/>
      <c r="F452" s="71"/>
      <c r="G452" s="71"/>
      <c r="H452" s="71"/>
      <c r="I452" s="71"/>
      <c r="J452" s="71"/>
    </row>
    <row r="453" spans="1:10">
      <c r="A453" s="71"/>
      <c r="B453" s="72"/>
      <c r="C453" s="71"/>
      <c r="D453" s="71"/>
      <c r="E453" s="71"/>
      <c r="F453" s="71"/>
      <c r="G453" s="71"/>
      <c r="H453" s="71"/>
      <c r="I453" s="71"/>
      <c r="J453" s="71"/>
    </row>
    <row r="454" spans="1:10">
      <c r="A454" s="71"/>
      <c r="B454" s="72"/>
      <c r="C454" s="71"/>
      <c r="D454" s="71"/>
      <c r="E454" s="71"/>
      <c r="F454" s="71"/>
      <c r="G454" s="71"/>
      <c r="H454" s="71"/>
      <c r="I454" s="71"/>
      <c r="J454" s="71"/>
    </row>
    <row r="455" spans="1:10">
      <c r="A455" s="71"/>
      <c r="B455" s="72"/>
      <c r="C455" s="71"/>
      <c r="D455" s="71"/>
      <c r="E455" s="71"/>
      <c r="F455" s="71"/>
      <c r="G455" s="71"/>
      <c r="H455" s="71"/>
      <c r="I455" s="71"/>
      <c r="J455" s="71"/>
    </row>
    <row r="456" spans="1:10">
      <c r="A456" s="71"/>
      <c r="B456" s="72"/>
      <c r="C456" s="71"/>
      <c r="D456" s="71"/>
      <c r="E456" s="71"/>
      <c r="F456" s="71"/>
      <c r="G456" s="71"/>
      <c r="H456" s="71"/>
      <c r="I456" s="71"/>
      <c r="J456" s="71"/>
    </row>
    <row r="457" spans="1:10">
      <c r="A457" s="71"/>
      <c r="B457" s="72"/>
      <c r="C457" s="71"/>
      <c r="D457" s="71"/>
      <c r="E457" s="71"/>
      <c r="F457" s="71"/>
      <c r="G457" s="71"/>
      <c r="H457" s="71"/>
      <c r="I457" s="71"/>
      <c r="J457" s="71"/>
    </row>
    <row r="458" spans="1:10">
      <c r="A458" s="71"/>
      <c r="B458" s="72"/>
      <c r="C458" s="71"/>
      <c r="D458" s="71"/>
      <c r="E458" s="71"/>
      <c r="F458" s="71"/>
      <c r="G458" s="71"/>
      <c r="H458" s="71"/>
      <c r="I458" s="71"/>
      <c r="J458" s="71"/>
    </row>
    <row r="459" spans="1:10">
      <c r="A459" s="71"/>
      <c r="B459" s="72"/>
      <c r="C459" s="71"/>
      <c r="D459" s="71"/>
      <c r="E459" s="71"/>
      <c r="F459" s="71"/>
      <c r="G459" s="71"/>
      <c r="H459" s="71"/>
      <c r="I459" s="71"/>
      <c r="J459" s="71"/>
    </row>
    <row r="460" spans="1:10">
      <c r="A460" s="71"/>
      <c r="B460" s="72"/>
      <c r="C460" s="71"/>
      <c r="D460" s="71"/>
      <c r="E460" s="71"/>
      <c r="F460" s="71"/>
      <c r="G460" s="71"/>
      <c r="H460" s="71"/>
      <c r="I460" s="71"/>
      <c r="J460" s="71"/>
    </row>
    <row r="461" spans="1:10">
      <c r="A461" s="71"/>
      <c r="B461" s="72"/>
      <c r="C461" s="71"/>
      <c r="D461" s="71"/>
      <c r="E461" s="71"/>
      <c r="F461" s="71"/>
      <c r="G461" s="71"/>
      <c r="H461" s="71"/>
      <c r="I461" s="71"/>
      <c r="J461" s="71"/>
    </row>
    <row r="462" spans="1:10">
      <c r="A462" s="71"/>
      <c r="B462" s="72"/>
      <c r="C462" s="71"/>
      <c r="D462" s="71"/>
      <c r="E462" s="71"/>
      <c r="F462" s="71"/>
      <c r="G462" s="71"/>
      <c r="H462" s="71"/>
      <c r="I462" s="71"/>
      <c r="J462" s="71"/>
    </row>
    <row r="463" spans="1:10">
      <c r="A463" s="71"/>
      <c r="B463" s="72"/>
      <c r="C463" s="71"/>
      <c r="D463" s="71"/>
      <c r="E463" s="71"/>
      <c r="F463" s="71"/>
      <c r="G463" s="71"/>
      <c r="H463" s="71"/>
      <c r="I463" s="71"/>
      <c r="J463" s="71"/>
    </row>
    <row r="464" spans="1:10">
      <c r="A464" s="71"/>
      <c r="B464" s="72"/>
      <c r="C464" s="71"/>
      <c r="D464" s="71"/>
      <c r="E464" s="71"/>
      <c r="F464" s="71"/>
      <c r="G464" s="71"/>
      <c r="H464" s="71"/>
      <c r="I464" s="71"/>
      <c r="J464" s="71"/>
    </row>
    <row r="465" spans="1:10">
      <c r="A465" s="71"/>
      <c r="B465" s="72"/>
      <c r="C465" s="71"/>
      <c r="D465" s="71"/>
      <c r="E465" s="71"/>
      <c r="F465" s="71"/>
      <c r="G465" s="71"/>
      <c r="H465" s="71"/>
      <c r="I465" s="71"/>
      <c r="J465" s="71"/>
    </row>
    <row r="466" spans="1:10">
      <c r="A466" s="71"/>
      <c r="B466" s="72"/>
      <c r="C466" s="71"/>
      <c r="D466" s="71"/>
      <c r="E466" s="71"/>
      <c r="F466" s="71"/>
      <c r="G466" s="71"/>
      <c r="H466" s="71"/>
      <c r="I466" s="71"/>
      <c r="J466" s="71"/>
    </row>
    <row r="467" spans="1:10">
      <c r="A467" s="71"/>
      <c r="B467" s="72"/>
      <c r="C467" s="71"/>
      <c r="D467" s="71"/>
      <c r="E467" s="71"/>
      <c r="F467" s="71"/>
      <c r="G467" s="71"/>
      <c r="H467" s="71"/>
      <c r="I467" s="71"/>
      <c r="J467" s="71"/>
    </row>
    <row r="468" spans="1:10">
      <c r="A468" s="71"/>
      <c r="B468" s="72"/>
      <c r="C468" s="71"/>
      <c r="D468" s="71"/>
      <c r="E468" s="71"/>
      <c r="F468" s="71"/>
      <c r="G468" s="71"/>
      <c r="H468" s="71"/>
      <c r="I468" s="71"/>
      <c r="J468" s="71"/>
    </row>
    <row r="469" spans="1:10">
      <c r="A469" s="71"/>
      <c r="B469" s="72"/>
      <c r="C469" s="71"/>
      <c r="D469" s="71"/>
      <c r="E469" s="71"/>
      <c r="F469" s="71"/>
      <c r="G469" s="71"/>
      <c r="H469" s="71"/>
      <c r="I469" s="71"/>
      <c r="J469" s="71"/>
    </row>
    <row r="470" spans="1:10">
      <c r="A470" s="71"/>
      <c r="B470" s="72"/>
      <c r="C470" s="71"/>
      <c r="D470" s="71"/>
      <c r="E470" s="71"/>
      <c r="F470" s="71"/>
      <c r="G470" s="71"/>
      <c r="H470" s="71"/>
      <c r="I470" s="71"/>
      <c r="J470" s="71"/>
    </row>
    <row r="471" spans="1:10">
      <c r="A471" s="71"/>
      <c r="B471" s="72"/>
      <c r="C471" s="71"/>
      <c r="D471" s="71"/>
      <c r="E471" s="71"/>
      <c r="F471" s="71"/>
      <c r="G471" s="71"/>
      <c r="H471" s="71"/>
      <c r="I471" s="71"/>
      <c r="J471" s="71"/>
    </row>
    <row r="472" spans="1:10">
      <c r="A472" s="71"/>
      <c r="B472" s="72"/>
      <c r="C472" s="71"/>
      <c r="D472" s="71"/>
      <c r="E472" s="71"/>
      <c r="F472" s="71"/>
      <c r="G472" s="71"/>
      <c r="H472" s="71"/>
      <c r="I472" s="71"/>
      <c r="J472" s="71"/>
    </row>
    <row r="473" spans="1:10">
      <c r="A473" s="71"/>
      <c r="B473" s="72"/>
      <c r="C473" s="71"/>
      <c r="D473" s="71"/>
      <c r="E473" s="71"/>
      <c r="F473" s="71"/>
      <c r="G473" s="71"/>
      <c r="H473" s="71"/>
      <c r="I473" s="71"/>
      <c r="J473" s="71"/>
    </row>
    <row r="474" spans="1:10">
      <c r="A474" s="71"/>
      <c r="B474" s="72"/>
      <c r="C474" s="71"/>
      <c r="D474" s="71"/>
      <c r="E474" s="71"/>
      <c r="F474" s="71"/>
      <c r="G474" s="71"/>
      <c r="H474" s="71"/>
      <c r="I474" s="71"/>
      <c r="J474" s="71"/>
    </row>
    <row r="475" spans="1:10">
      <c r="A475" s="71"/>
      <c r="B475" s="72"/>
      <c r="C475" s="71"/>
      <c r="D475" s="71"/>
      <c r="E475" s="71"/>
      <c r="F475" s="71"/>
      <c r="G475" s="71"/>
      <c r="H475" s="71"/>
      <c r="I475" s="71"/>
      <c r="J475" s="71"/>
    </row>
    <row r="476" spans="1:10">
      <c r="A476" s="71"/>
      <c r="B476" s="72"/>
      <c r="C476" s="71"/>
      <c r="D476" s="71"/>
      <c r="E476" s="71"/>
      <c r="F476" s="71"/>
      <c r="G476" s="71"/>
      <c r="H476" s="71"/>
      <c r="I476" s="71"/>
      <c r="J476" s="71"/>
    </row>
    <row r="477" spans="1:10">
      <c r="A477" s="71"/>
      <c r="B477" s="72"/>
      <c r="C477" s="71"/>
      <c r="D477" s="71"/>
      <c r="E477" s="71"/>
      <c r="F477" s="71"/>
      <c r="G477" s="71"/>
      <c r="H477" s="71"/>
      <c r="I477" s="71"/>
      <c r="J477" s="71"/>
    </row>
    <row r="478" spans="1:10">
      <c r="A478" s="71"/>
      <c r="B478" s="72"/>
      <c r="C478" s="71"/>
      <c r="D478" s="71"/>
      <c r="E478" s="71"/>
      <c r="F478" s="71"/>
      <c r="G478" s="71"/>
      <c r="H478" s="71"/>
      <c r="I478" s="71"/>
      <c r="J478" s="71"/>
    </row>
    <row r="479" spans="1:10">
      <c r="A479" s="71"/>
      <c r="B479" s="72"/>
      <c r="C479" s="71"/>
      <c r="D479" s="71"/>
      <c r="E479" s="71"/>
      <c r="F479" s="71"/>
      <c r="G479" s="71"/>
      <c r="H479" s="71"/>
      <c r="I479" s="71"/>
      <c r="J479" s="71"/>
    </row>
    <row r="480" spans="1:10">
      <c r="A480" s="71"/>
      <c r="B480" s="72"/>
      <c r="C480" s="71"/>
      <c r="D480" s="71"/>
      <c r="E480" s="71"/>
      <c r="F480" s="71"/>
      <c r="G480" s="71"/>
      <c r="H480" s="71"/>
      <c r="I480" s="71"/>
      <c r="J480" s="71"/>
    </row>
    <row r="481" spans="1:10">
      <c r="A481" s="71"/>
      <c r="B481" s="72"/>
      <c r="C481" s="71"/>
      <c r="D481" s="71"/>
      <c r="E481" s="71"/>
      <c r="F481" s="71"/>
      <c r="G481" s="71"/>
      <c r="H481" s="71"/>
      <c r="I481" s="71"/>
      <c r="J481" s="71"/>
    </row>
    <row r="482" spans="1:10">
      <c r="A482" s="71"/>
      <c r="B482" s="72"/>
      <c r="C482" s="71"/>
      <c r="D482" s="71"/>
      <c r="E482" s="71"/>
      <c r="F482" s="71"/>
      <c r="G482" s="71"/>
      <c r="H482" s="71"/>
      <c r="I482" s="71"/>
      <c r="J482" s="71"/>
    </row>
    <row r="483" spans="1:10">
      <c r="A483" s="71"/>
      <c r="B483" s="72"/>
      <c r="C483" s="71"/>
      <c r="D483" s="71"/>
      <c r="E483" s="71"/>
      <c r="F483" s="71"/>
      <c r="G483" s="71"/>
      <c r="H483" s="71"/>
      <c r="I483" s="71"/>
      <c r="J483" s="71"/>
    </row>
    <row r="484" spans="1:10">
      <c r="A484" s="71"/>
      <c r="B484" s="72"/>
      <c r="C484" s="71"/>
      <c r="D484" s="71"/>
      <c r="E484" s="71"/>
      <c r="F484" s="71"/>
      <c r="G484" s="71"/>
      <c r="H484" s="71"/>
      <c r="I484" s="71"/>
      <c r="J484" s="71"/>
    </row>
    <row r="485" spans="1:10">
      <c r="A485" s="71"/>
      <c r="B485" s="72"/>
      <c r="C485" s="71"/>
      <c r="D485" s="71"/>
      <c r="E485" s="71"/>
      <c r="F485" s="71"/>
      <c r="G485" s="71"/>
      <c r="H485" s="71"/>
      <c r="I485" s="71"/>
      <c r="J485" s="71"/>
    </row>
    <row r="486" spans="1:10">
      <c r="A486" s="71"/>
      <c r="B486" s="72"/>
      <c r="C486" s="71"/>
      <c r="D486" s="71"/>
      <c r="E486" s="71"/>
      <c r="F486" s="71"/>
      <c r="G486" s="71"/>
      <c r="H486" s="71"/>
      <c r="I486" s="71"/>
      <c r="J486" s="71"/>
    </row>
    <row r="487" spans="1:10">
      <c r="A487" s="71"/>
      <c r="B487" s="72"/>
      <c r="C487" s="71"/>
      <c r="D487" s="71"/>
      <c r="E487" s="71"/>
      <c r="F487" s="71"/>
      <c r="G487" s="71"/>
      <c r="H487" s="71"/>
      <c r="I487" s="71"/>
      <c r="J487" s="71"/>
    </row>
    <row r="488" spans="1:10">
      <c r="A488" s="71"/>
      <c r="B488" s="72"/>
      <c r="C488" s="71"/>
      <c r="D488" s="71"/>
      <c r="E488" s="71"/>
      <c r="F488" s="71"/>
      <c r="G488" s="71"/>
      <c r="H488" s="71"/>
      <c r="I488" s="71"/>
      <c r="J488" s="71"/>
    </row>
    <row r="489" spans="1:10">
      <c r="A489" s="71"/>
      <c r="B489" s="72"/>
      <c r="C489" s="71"/>
      <c r="D489" s="71"/>
      <c r="E489" s="71"/>
      <c r="F489" s="71"/>
      <c r="G489" s="71"/>
      <c r="H489" s="71"/>
      <c r="I489" s="71"/>
      <c r="J489" s="71"/>
    </row>
    <row r="490" spans="1:10">
      <c r="A490" s="71"/>
      <c r="B490" s="72"/>
      <c r="C490" s="71"/>
      <c r="D490" s="71"/>
      <c r="E490" s="71"/>
      <c r="F490" s="71"/>
      <c r="G490" s="71"/>
      <c r="H490" s="71"/>
      <c r="I490" s="71"/>
      <c r="J490" s="71"/>
    </row>
    <row r="491" spans="1:10">
      <c r="A491" s="71"/>
      <c r="B491" s="72"/>
      <c r="C491" s="71"/>
      <c r="D491" s="71"/>
      <c r="E491" s="71"/>
      <c r="F491" s="71"/>
      <c r="G491" s="71"/>
      <c r="H491" s="71"/>
      <c r="I491" s="71"/>
      <c r="J491" s="71"/>
    </row>
    <row r="492" spans="1:10">
      <c r="A492" s="71"/>
      <c r="B492" s="72"/>
      <c r="C492" s="71"/>
      <c r="D492" s="71"/>
      <c r="E492" s="71"/>
      <c r="F492" s="71"/>
      <c r="G492" s="71"/>
      <c r="H492" s="71"/>
      <c r="I492" s="71"/>
      <c r="J492" s="71"/>
    </row>
    <row r="493" spans="1:10">
      <c r="A493" s="71"/>
      <c r="B493" s="72"/>
      <c r="C493" s="71"/>
      <c r="D493" s="71"/>
      <c r="E493" s="71"/>
      <c r="F493" s="71"/>
      <c r="G493" s="71"/>
      <c r="H493" s="71"/>
      <c r="I493" s="71"/>
      <c r="J493" s="71"/>
    </row>
    <row r="494" spans="1:10">
      <c r="A494" s="71"/>
      <c r="B494" s="72"/>
      <c r="C494" s="71"/>
      <c r="D494" s="71"/>
      <c r="E494" s="71"/>
      <c r="F494" s="71"/>
      <c r="G494" s="71"/>
      <c r="H494" s="71"/>
      <c r="I494" s="71"/>
      <c r="J494" s="71"/>
    </row>
    <row r="495" spans="1:10">
      <c r="A495" s="71"/>
      <c r="B495" s="72"/>
      <c r="C495" s="71"/>
      <c r="D495" s="71"/>
      <c r="E495" s="71"/>
      <c r="F495" s="71"/>
      <c r="G495" s="71"/>
      <c r="H495" s="71"/>
      <c r="I495" s="71"/>
      <c r="J495" s="71"/>
    </row>
    <row r="496" spans="1:10">
      <c r="A496" s="71"/>
      <c r="B496" s="72"/>
      <c r="C496" s="71"/>
      <c r="D496" s="71"/>
      <c r="E496" s="71"/>
      <c r="F496" s="71"/>
      <c r="G496" s="71"/>
      <c r="H496" s="71"/>
      <c r="I496" s="71"/>
      <c r="J496" s="71"/>
    </row>
    <row r="497" spans="1:10">
      <c r="A497" s="71"/>
      <c r="B497" s="72"/>
      <c r="C497" s="71"/>
      <c r="D497" s="71"/>
      <c r="E497" s="71"/>
      <c r="F497" s="71"/>
      <c r="G497" s="71"/>
      <c r="H497" s="71"/>
      <c r="I497" s="71"/>
      <c r="J497" s="71"/>
    </row>
    <row r="498" spans="1:10">
      <c r="A498" s="71"/>
      <c r="B498" s="72"/>
      <c r="C498" s="71"/>
      <c r="D498" s="71"/>
      <c r="E498" s="71"/>
      <c r="F498" s="71"/>
      <c r="G498" s="71"/>
      <c r="H498" s="71"/>
      <c r="I498" s="71"/>
      <c r="J498" s="71"/>
    </row>
    <row r="499" spans="1:10">
      <c r="A499" s="71"/>
      <c r="B499" s="72"/>
      <c r="C499" s="71"/>
      <c r="D499" s="71"/>
      <c r="E499" s="71"/>
      <c r="F499" s="71"/>
      <c r="G499" s="71"/>
      <c r="H499" s="71"/>
      <c r="I499" s="71"/>
      <c r="J499" s="71"/>
    </row>
    <row r="500" spans="1:10">
      <c r="A500" s="71"/>
      <c r="B500" s="72"/>
      <c r="C500" s="71"/>
      <c r="D500" s="71"/>
      <c r="E500" s="71"/>
      <c r="F500" s="71"/>
      <c r="G500" s="71"/>
      <c r="H500" s="71"/>
      <c r="I500" s="71"/>
      <c r="J500" s="71"/>
    </row>
    <row r="501" spans="1:10">
      <c r="A501" s="71"/>
      <c r="B501" s="72"/>
      <c r="C501" s="71"/>
      <c r="D501" s="71"/>
      <c r="E501" s="71"/>
      <c r="F501" s="71"/>
      <c r="G501" s="71"/>
      <c r="H501" s="71"/>
      <c r="I501" s="71"/>
      <c r="J501" s="71"/>
    </row>
    <row r="502" spans="1:10">
      <c r="A502" s="71"/>
      <c r="B502" s="72"/>
      <c r="C502" s="71"/>
      <c r="D502" s="71"/>
      <c r="E502" s="71"/>
      <c r="F502" s="71"/>
      <c r="G502" s="71"/>
      <c r="H502" s="71"/>
      <c r="I502" s="71"/>
      <c r="J502" s="71"/>
    </row>
    <row r="503" spans="1:10">
      <c r="A503" s="71"/>
      <c r="B503" s="72"/>
      <c r="C503" s="71"/>
      <c r="D503" s="71"/>
      <c r="E503" s="71"/>
      <c r="F503" s="71"/>
      <c r="G503" s="71"/>
      <c r="H503" s="71"/>
      <c r="I503" s="71"/>
      <c r="J503" s="71"/>
    </row>
    <row r="504" spans="1:10">
      <c r="A504" s="71"/>
      <c r="B504" s="72"/>
      <c r="C504" s="71"/>
      <c r="D504" s="71"/>
      <c r="E504" s="71"/>
      <c r="F504" s="71"/>
      <c r="G504" s="71"/>
      <c r="H504" s="71"/>
      <c r="I504" s="71"/>
      <c r="J504" s="71"/>
    </row>
    <row r="505" spans="1:10">
      <c r="A505" s="71"/>
      <c r="B505" s="72"/>
      <c r="C505" s="71"/>
      <c r="D505" s="71"/>
      <c r="E505" s="71"/>
      <c r="F505" s="71"/>
      <c r="G505" s="71"/>
      <c r="H505" s="71"/>
      <c r="I505" s="71"/>
      <c r="J505" s="71"/>
    </row>
    <row r="506" spans="1:10">
      <c r="A506" s="71"/>
      <c r="B506" s="72"/>
      <c r="C506" s="71"/>
      <c r="D506" s="71"/>
      <c r="E506" s="71"/>
      <c r="F506" s="71"/>
      <c r="G506" s="71"/>
      <c r="H506" s="71"/>
      <c r="I506" s="71"/>
      <c r="J506" s="71"/>
    </row>
    <row r="507" spans="1:10">
      <c r="A507" s="71"/>
      <c r="B507" s="72"/>
      <c r="C507" s="71"/>
      <c r="D507" s="71"/>
      <c r="E507" s="71"/>
      <c r="F507" s="71"/>
      <c r="G507" s="71"/>
      <c r="H507" s="71"/>
      <c r="I507" s="71"/>
      <c r="J507" s="71"/>
    </row>
    <row r="508" spans="1:10">
      <c r="A508" s="71"/>
      <c r="B508" s="72"/>
      <c r="C508" s="71"/>
      <c r="D508" s="71"/>
      <c r="E508" s="71"/>
      <c r="F508" s="71"/>
      <c r="G508" s="71"/>
      <c r="H508" s="71"/>
      <c r="I508" s="71"/>
      <c r="J508" s="71"/>
    </row>
    <row r="509" spans="1:10">
      <c r="A509" s="71"/>
      <c r="B509" s="72"/>
      <c r="C509" s="71"/>
      <c r="D509" s="71"/>
      <c r="E509" s="71"/>
      <c r="F509" s="71"/>
      <c r="G509" s="71"/>
      <c r="H509" s="71"/>
      <c r="I509" s="71"/>
      <c r="J509" s="71"/>
    </row>
    <row r="510" spans="1:10">
      <c r="A510" s="71"/>
      <c r="B510" s="72"/>
      <c r="C510" s="71"/>
      <c r="D510" s="71"/>
      <c r="E510" s="71"/>
      <c r="F510" s="71"/>
      <c r="G510" s="71"/>
      <c r="H510" s="71"/>
      <c r="I510" s="71"/>
      <c r="J510" s="71"/>
    </row>
    <row r="511" spans="1:10">
      <c r="A511" s="71"/>
      <c r="B511" s="72"/>
      <c r="C511" s="71"/>
      <c r="D511" s="71"/>
      <c r="E511" s="71"/>
      <c r="F511" s="71"/>
      <c r="G511" s="71"/>
      <c r="H511" s="71"/>
      <c r="I511" s="71"/>
      <c r="J511" s="71"/>
    </row>
    <row r="512" spans="1:10">
      <c r="A512" s="71"/>
      <c r="B512" s="72"/>
      <c r="C512" s="71"/>
      <c r="D512" s="71"/>
      <c r="E512" s="71"/>
      <c r="F512" s="71"/>
      <c r="G512" s="71"/>
      <c r="H512" s="71"/>
      <c r="I512" s="71"/>
      <c r="J512" s="71"/>
    </row>
    <row r="513" spans="1:10">
      <c r="A513" s="71"/>
      <c r="B513" s="72"/>
      <c r="C513" s="71"/>
      <c r="D513" s="71"/>
      <c r="E513" s="71"/>
      <c r="F513" s="71"/>
      <c r="G513" s="71"/>
      <c r="H513" s="71"/>
      <c r="I513" s="71"/>
      <c r="J513" s="71"/>
    </row>
    <row r="514" spans="1:10">
      <c r="A514" s="71"/>
      <c r="B514" s="72"/>
      <c r="C514" s="71"/>
      <c r="D514" s="71"/>
      <c r="E514" s="71"/>
      <c r="F514" s="71"/>
      <c r="G514" s="71"/>
      <c r="H514" s="71"/>
      <c r="I514" s="71"/>
      <c r="J514" s="71"/>
    </row>
    <row r="515" spans="1:10">
      <c r="A515" s="71"/>
      <c r="B515" s="72"/>
      <c r="C515" s="71"/>
      <c r="D515" s="71"/>
      <c r="E515" s="71"/>
      <c r="F515" s="71"/>
      <c r="G515" s="71"/>
      <c r="H515" s="71"/>
      <c r="I515" s="71"/>
      <c r="J515" s="71"/>
    </row>
    <row r="516" spans="1:10">
      <c r="A516" s="71"/>
      <c r="B516" s="72"/>
      <c r="C516" s="71"/>
      <c r="D516" s="71"/>
      <c r="E516" s="71"/>
      <c r="F516" s="71"/>
      <c r="G516" s="71"/>
      <c r="H516" s="71"/>
      <c r="I516" s="71"/>
      <c r="J516" s="71"/>
    </row>
    <row r="517" spans="1:10">
      <c r="A517" s="71"/>
      <c r="B517" s="72"/>
      <c r="C517" s="71"/>
      <c r="D517" s="71"/>
      <c r="E517" s="71"/>
      <c r="F517" s="71"/>
      <c r="G517" s="71"/>
      <c r="H517" s="71"/>
      <c r="I517" s="71"/>
      <c r="J517" s="71"/>
    </row>
    <row r="518" spans="1:10">
      <c r="A518" s="71"/>
      <c r="B518" s="72"/>
      <c r="C518" s="71"/>
      <c r="D518" s="71"/>
      <c r="E518" s="71"/>
      <c r="F518" s="71"/>
      <c r="G518" s="71"/>
      <c r="H518" s="71"/>
      <c r="I518" s="71"/>
      <c r="J518" s="71"/>
    </row>
    <row r="519" spans="1:10">
      <c r="A519" s="71"/>
      <c r="B519" s="72"/>
      <c r="C519" s="71"/>
      <c r="D519" s="71"/>
      <c r="E519" s="71"/>
      <c r="F519" s="71"/>
      <c r="G519" s="71"/>
      <c r="H519" s="71"/>
      <c r="I519" s="71"/>
      <c r="J519" s="71"/>
    </row>
    <row r="520" spans="1:10">
      <c r="A520" s="71"/>
      <c r="B520" s="72"/>
      <c r="C520" s="71"/>
      <c r="D520" s="71"/>
      <c r="E520" s="71"/>
      <c r="F520" s="71"/>
      <c r="G520" s="71"/>
      <c r="H520" s="71"/>
      <c r="I520" s="71"/>
      <c r="J520" s="71"/>
    </row>
    <row r="521" spans="1:10">
      <c r="A521" s="71"/>
      <c r="B521" s="72"/>
      <c r="C521" s="71"/>
      <c r="D521" s="71"/>
      <c r="E521" s="71"/>
      <c r="F521" s="71"/>
      <c r="G521" s="71"/>
      <c r="H521" s="71"/>
      <c r="I521" s="71"/>
      <c r="J521" s="71"/>
    </row>
    <row r="522" spans="1:10">
      <c r="A522" s="71"/>
      <c r="B522" s="72"/>
      <c r="C522" s="71"/>
      <c r="D522" s="71"/>
      <c r="E522" s="71"/>
      <c r="F522" s="71"/>
      <c r="G522" s="71"/>
      <c r="H522" s="71"/>
      <c r="I522" s="71"/>
      <c r="J522" s="71"/>
    </row>
    <row r="523" spans="1:10">
      <c r="A523" s="71"/>
      <c r="B523" s="72"/>
      <c r="C523" s="71"/>
      <c r="D523" s="71"/>
      <c r="E523" s="71"/>
      <c r="F523" s="71"/>
      <c r="G523" s="71"/>
      <c r="H523" s="71"/>
      <c r="I523" s="71"/>
      <c r="J523" s="71"/>
    </row>
    <row r="524" spans="1:10">
      <c r="A524" s="71"/>
      <c r="B524" s="72"/>
      <c r="C524" s="71"/>
      <c r="D524" s="71"/>
      <c r="E524" s="71"/>
      <c r="F524" s="71"/>
      <c r="G524" s="71"/>
      <c r="H524" s="71"/>
      <c r="I524" s="71"/>
      <c r="J524" s="71"/>
    </row>
    <row r="525" spans="1:10">
      <c r="A525" s="71"/>
      <c r="B525" s="72"/>
      <c r="C525" s="71"/>
      <c r="D525" s="71"/>
      <c r="E525" s="71"/>
      <c r="F525" s="71"/>
      <c r="G525" s="71"/>
      <c r="H525" s="71"/>
      <c r="I525" s="71"/>
      <c r="J525" s="71"/>
    </row>
    <row r="526" spans="1:10">
      <c r="A526" s="71"/>
      <c r="B526" s="72"/>
      <c r="C526" s="71"/>
      <c r="D526" s="71"/>
      <c r="E526" s="71"/>
      <c r="F526" s="71"/>
      <c r="G526" s="71"/>
      <c r="H526" s="71"/>
      <c r="I526" s="71"/>
      <c r="J526" s="71"/>
    </row>
    <row r="527" spans="1:10">
      <c r="A527" s="71"/>
      <c r="B527" s="72"/>
      <c r="C527" s="71"/>
      <c r="D527" s="71"/>
      <c r="E527" s="71"/>
      <c r="F527" s="71"/>
      <c r="G527" s="71"/>
      <c r="H527" s="71"/>
      <c r="I527" s="71"/>
      <c r="J527" s="71"/>
    </row>
    <row r="528" spans="1:10">
      <c r="A528" s="71"/>
      <c r="B528" s="72"/>
      <c r="C528" s="71"/>
      <c r="D528" s="71"/>
      <c r="E528" s="71"/>
      <c r="F528" s="71"/>
      <c r="G528" s="71"/>
      <c r="H528" s="71"/>
      <c r="I528" s="71"/>
      <c r="J528" s="71"/>
    </row>
    <row r="529" spans="1:10">
      <c r="A529" s="71"/>
      <c r="B529" s="72"/>
      <c r="C529" s="71"/>
      <c r="D529" s="71"/>
      <c r="E529" s="71"/>
      <c r="F529" s="71"/>
      <c r="G529" s="71"/>
      <c r="H529" s="71"/>
      <c r="I529" s="71"/>
      <c r="J529" s="71"/>
    </row>
    <row r="530" spans="1:10">
      <c r="A530" s="71"/>
      <c r="B530" s="72"/>
      <c r="C530" s="71"/>
      <c r="D530" s="71"/>
      <c r="E530" s="71"/>
      <c r="F530" s="71"/>
      <c r="G530" s="71"/>
      <c r="H530" s="71"/>
      <c r="I530" s="71"/>
      <c r="J530" s="71"/>
    </row>
    <row r="531" spans="1:10">
      <c r="A531" s="71"/>
      <c r="B531" s="72"/>
      <c r="C531" s="71"/>
      <c r="D531" s="71"/>
      <c r="E531" s="71"/>
      <c r="F531" s="71"/>
      <c r="G531" s="71"/>
      <c r="H531" s="71"/>
      <c r="I531" s="71"/>
      <c r="J531" s="71"/>
    </row>
    <row r="532" spans="1:10">
      <c r="A532" s="71"/>
      <c r="B532" s="72"/>
      <c r="C532" s="71"/>
      <c r="D532" s="71"/>
      <c r="E532" s="71"/>
      <c r="F532" s="71"/>
      <c r="G532" s="71"/>
      <c r="H532" s="71"/>
      <c r="I532" s="71"/>
      <c r="J532" s="71"/>
    </row>
    <row r="533" spans="1:10">
      <c r="A533" s="71"/>
      <c r="B533" s="72"/>
      <c r="C533" s="71"/>
      <c r="D533" s="71"/>
      <c r="E533" s="71"/>
      <c r="F533" s="71"/>
      <c r="G533" s="71"/>
      <c r="H533" s="71"/>
      <c r="I533" s="71"/>
      <c r="J533" s="71"/>
    </row>
    <row r="534" spans="1:10">
      <c r="A534" s="71"/>
      <c r="B534" s="72"/>
      <c r="C534" s="71"/>
      <c r="D534" s="71"/>
      <c r="E534" s="71"/>
      <c r="F534" s="71"/>
      <c r="G534" s="71"/>
      <c r="H534" s="71"/>
      <c r="I534" s="71"/>
      <c r="J534" s="71"/>
    </row>
    <row r="535" spans="1:10">
      <c r="A535" s="71"/>
      <c r="B535" s="72"/>
      <c r="C535" s="71"/>
      <c r="D535" s="71"/>
      <c r="E535" s="71"/>
      <c r="F535" s="71"/>
      <c r="G535" s="71"/>
      <c r="H535" s="71"/>
      <c r="I535" s="71"/>
      <c r="J535" s="71"/>
    </row>
    <row r="536" spans="1:10">
      <c r="A536" s="71"/>
      <c r="B536" s="72"/>
      <c r="C536" s="71"/>
      <c r="D536" s="71"/>
      <c r="E536" s="71"/>
      <c r="F536" s="71"/>
      <c r="G536" s="71"/>
      <c r="H536" s="71"/>
      <c r="I536" s="71"/>
      <c r="J536" s="71"/>
    </row>
    <row r="537" spans="1:10">
      <c r="A537" s="71"/>
      <c r="B537" s="72"/>
      <c r="C537" s="71"/>
      <c r="D537" s="71"/>
      <c r="E537" s="71"/>
      <c r="F537" s="71"/>
      <c r="G537" s="71"/>
      <c r="H537" s="71"/>
      <c r="I537" s="71"/>
      <c r="J537" s="71"/>
    </row>
    <row r="538" spans="1:10">
      <c r="A538" s="71"/>
      <c r="B538" s="72"/>
      <c r="C538" s="71"/>
      <c r="D538" s="71"/>
      <c r="E538" s="71"/>
      <c r="F538" s="71"/>
      <c r="G538" s="71"/>
      <c r="H538" s="71"/>
      <c r="I538" s="71"/>
      <c r="J538" s="71"/>
    </row>
    <row r="539" spans="1:10">
      <c r="A539" s="71"/>
      <c r="B539" s="72"/>
      <c r="C539" s="71"/>
      <c r="D539" s="71"/>
      <c r="E539" s="71"/>
      <c r="F539" s="71"/>
      <c r="G539" s="71"/>
      <c r="H539" s="71"/>
      <c r="I539" s="71"/>
      <c r="J539" s="71"/>
    </row>
    <row r="540" spans="1:10">
      <c r="A540" s="71"/>
      <c r="B540" s="72"/>
      <c r="C540" s="71"/>
      <c r="D540" s="71"/>
      <c r="E540" s="71"/>
      <c r="F540" s="71"/>
      <c r="G540" s="71"/>
      <c r="H540" s="71"/>
      <c r="I540" s="71"/>
      <c r="J540" s="71"/>
    </row>
    <row r="541" spans="1:10">
      <c r="A541" s="71"/>
      <c r="B541" s="72"/>
      <c r="C541" s="71"/>
      <c r="D541" s="71"/>
      <c r="E541" s="71"/>
      <c r="F541" s="71"/>
      <c r="G541" s="71"/>
      <c r="H541" s="71"/>
      <c r="I541" s="71"/>
      <c r="J541" s="71"/>
    </row>
    <row r="542" spans="1:10">
      <c r="A542" s="71"/>
      <c r="B542" s="72"/>
      <c r="C542" s="71"/>
      <c r="D542" s="71"/>
      <c r="E542" s="71"/>
      <c r="F542" s="71"/>
      <c r="G542" s="71"/>
      <c r="H542" s="71"/>
      <c r="I542" s="71"/>
      <c r="J542" s="71"/>
    </row>
    <row r="543" spans="1:10">
      <c r="A543" s="71"/>
      <c r="B543" s="72"/>
      <c r="C543" s="71"/>
      <c r="D543" s="71"/>
      <c r="E543" s="71"/>
      <c r="F543" s="71"/>
      <c r="G543" s="71"/>
      <c r="H543" s="71"/>
      <c r="I543" s="71"/>
      <c r="J543" s="71"/>
    </row>
    <row r="544" spans="1:10">
      <c r="A544" s="71"/>
      <c r="B544" s="72"/>
      <c r="C544" s="71"/>
      <c r="D544" s="71"/>
      <c r="E544" s="71"/>
      <c r="F544" s="71"/>
      <c r="G544" s="71"/>
      <c r="H544" s="71"/>
      <c r="I544" s="71"/>
      <c r="J544" s="71"/>
    </row>
    <row r="545" spans="1:10">
      <c r="A545" s="71"/>
      <c r="B545" s="72"/>
      <c r="C545" s="71"/>
      <c r="D545" s="71"/>
      <c r="E545" s="71"/>
      <c r="F545" s="71"/>
      <c r="G545" s="71"/>
      <c r="H545" s="71"/>
      <c r="I545" s="71"/>
      <c r="J545" s="71"/>
    </row>
    <row r="546" spans="1:10">
      <c r="A546" s="71"/>
      <c r="B546" s="72"/>
      <c r="C546" s="71"/>
      <c r="D546" s="71"/>
      <c r="E546" s="71"/>
      <c r="F546" s="71"/>
      <c r="G546" s="71"/>
      <c r="H546" s="71"/>
      <c r="I546" s="71"/>
      <c r="J546" s="71"/>
    </row>
    <row r="547" spans="1:10">
      <c r="A547" s="71"/>
      <c r="B547" s="72"/>
      <c r="C547" s="71"/>
      <c r="D547" s="71"/>
      <c r="E547" s="71"/>
      <c r="F547" s="71"/>
      <c r="G547" s="71"/>
      <c r="H547" s="71"/>
      <c r="I547" s="71"/>
      <c r="J547" s="71"/>
    </row>
    <row r="548" spans="1:10">
      <c r="A548" s="71"/>
      <c r="B548" s="72"/>
      <c r="C548" s="71"/>
      <c r="D548" s="71"/>
      <c r="E548" s="71"/>
      <c r="F548" s="71"/>
      <c r="G548" s="71"/>
      <c r="H548" s="71"/>
      <c r="I548" s="71"/>
      <c r="J548" s="71"/>
    </row>
    <row r="549" spans="1:10">
      <c r="A549" s="71"/>
      <c r="B549" s="72"/>
      <c r="C549" s="71"/>
      <c r="D549" s="71"/>
      <c r="E549" s="71"/>
      <c r="F549" s="71"/>
      <c r="G549" s="71"/>
      <c r="H549" s="71"/>
      <c r="I549" s="71"/>
      <c r="J549" s="71"/>
    </row>
    <row r="550" spans="1:10">
      <c r="A550" s="71"/>
      <c r="B550" s="72"/>
      <c r="C550" s="71"/>
      <c r="D550" s="71"/>
      <c r="E550" s="71"/>
      <c r="F550" s="71"/>
      <c r="G550" s="71"/>
      <c r="H550" s="71"/>
      <c r="I550" s="71"/>
      <c r="J550" s="71"/>
    </row>
    <row r="551" spans="1:10">
      <c r="A551" s="71"/>
      <c r="B551" s="72"/>
      <c r="C551" s="71"/>
      <c r="D551" s="71"/>
      <c r="E551" s="71"/>
      <c r="F551" s="71"/>
      <c r="G551" s="71"/>
      <c r="H551" s="71"/>
      <c r="I551" s="71"/>
      <c r="J551" s="71"/>
    </row>
    <row r="552" spans="1:10">
      <c r="A552" s="71"/>
      <c r="B552" s="72"/>
      <c r="C552" s="71"/>
      <c r="D552" s="71"/>
      <c r="E552" s="71"/>
      <c r="F552" s="71"/>
      <c r="G552" s="71"/>
      <c r="H552" s="71"/>
      <c r="I552" s="71"/>
      <c r="J552" s="71"/>
    </row>
    <row r="553" spans="1:10">
      <c r="A553" s="71"/>
      <c r="B553" s="72"/>
      <c r="C553" s="71"/>
      <c r="D553" s="71"/>
      <c r="E553" s="71"/>
      <c r="F553" s="71"/>
      <c r="G553" s="71"/>
      <c r="H553" s="71"/>
      <c r="I553" s="71"/>
      <c r="J553" s="71"/>
    </row>
    <row r="554" spans="1:10">
      <c r="A554" s="71"/>
      <c r="B554" s="72"/>
      <c r="C554" s="71"/>
      <c r="D554" s="71"/>
      <c r="E554" s="71"/>
      <c r="F554" s="71"/>
      <c r="G554" s="71"/>
      <c r="H554" s="71"/>
      <c r="I554" s="71"/>
      <c r="J554" s="71"/>
    </row>
    <row r="555" spans="1:10">
      <c r="A555" s="71"/>
      <c r="B555" s="72"/>
      <c r="C555" s="71"/>
      <c r="D555" s="71"/>
      <c r="E555" s="71"/>
      <c r="F555" s="71"/>
      <c r="G555" s="71"/>
      <c r="H555" s="71"/>
      <c r="I555" s="71"/>
      <c r="J555" s="71"/>
    </row>
    <row r="556" spans="1:10">
      <c r="A556" s="71"/>
      <c r="B556" s="72"/>
      <c r="C556" s="71"/>
      <c r="D556" s="71"/>
      <c r="E556" s="71"/>
      <c r="F556" s="71"/>
      <c r="G556" s="71"/>
      <c r="H556" s="71"/>
      <c r="I556" s="71"/>
      <c r="J556" s="71"/>
    </row>
    <row r="557" spans="1:10">
      <c r="A557" s="71"/>
      <c r="B557" s="72"/>
      <c r="C557" s="71"/>
      <c r="D557" s="71"/>
      <c r="E557" s="71"/>
      <c r="F557" s="71"/>
      <c r="G557" s="71"/>
      <c r="H557" s="71"/>
      <c r="I557" s="71"/>
      <c r="J557" s="71"/>
    </row>
    <row r="558" spans="1:10">
      <c r="A558" s="71"/>
      <c r="B558" s="72"/>
      <c r="C558" s="71"/>
      <c r="D558" s="71"/>
      <c r="E558" s="71"/>
      <c r="F558" s="71"/>
      <c r="G558" s="71"/>
      <c r="H558" s="71"/>
      <c r="I558" s="71"/>
      <c r="J558" s="71"/>
    </row>
    <row r="559" spans="1:10">
      <c r="A559" s="71"/>
      <c r="B559" s="72"/>
      <c r="C559" s="71"/>
      <c r="D559" s="71"/>
      <c r="E559" s="71"/>
      <c r="F559" s="71"/>
      <c r="G559" s="71"/>
      <c r="H559" s="71"/>
      <c r="I559" s="71"/>
      <c r="J559" s="71"/>
    </row>
    <row r="560" spans="1:10">
      <c r="A560" s="71"/>
      <c r="B560" s="72"/>
      <c r="C560" s="71"/>
      <c r="D560" s="71"/>
      <c r="E560" s="71"/>
      <c r="F560" s="71"/>
      <c r="G560" s="71"/>
      <c r="H560" s="71"/>
      <c r="I560" s="71"/>
      <c r="J560" s="71"/>
    </row>
    <row r="561" spans="1:10">
      <c r="A561" s="71"/>
      <c r="B561" s="72"/>
      <c r="C561" s="71"/>
      <c r="D561" s="71"/>
      <c r="E561" s="71"/>
      <c r="F561" s="71"/>
      <c r="G561" s="71"/>
      <c r="H561" s="71"/>
      <c r="I561" s="71"/>
      <c r="J561" s="71"/>
    </row>
    <row r="562" spans="1:10">
      <c r="A562" s="71"/>
      <c r="B562" s="72"/>
      <c r="C562" s="71"/>
      <c r="D562" s="71"/>
      <c r="E562" s="71"/>
      <c r="F562" s="71"/>
      <c r="G562" s="71"/>
      <c r="H562" s="71"/>
      <c r="I562" s="71"/>
      <c r="J562" s="71"/>
    </row>
    <row r="563" spans="1:10">
      <c r="A563" s="71"/>
      <c r="B563" s="72"/>
      <c r="C563" s="71"/>
      <c r="D563" s="71"/>
      <c r="E563" s="71"/>
      <c r="F563" s="71"/>
      <c r="G563" s="71"/>
      <c r="H563" s="71"/>
      <c r="I563" s="71"/>
      <c r="J563" s="71"/>
    </row>
    <row r="564" spans="1:10">
      <c r="A564" s="71"/>
      <c r="B564" s="72"/>
      <c r="C564" s="71"/>
      <c r="D564" s="71"/>
      <c r="E564" s="71"/>
      <c r="F564" s="71"/>
      <c r="G564" s="71"/>
      <c r="H564" s="71"/>
      <c r="I564" s="71"/>
      <c r="J564" s="71"/>
    </row>
    <row r="565" spans="1:10">
      <c r="A565" s="71"/>
      <c r="B565" s="72"/>
      <c r="C565" s="71"/>
      <c r="D565" s="71"/>
      <c r="E565" s="71"/>
      <c r="F565" s="71"/>
      <c r="G565" s="71"/>
      <c r="H565" s="71"/>
      <c r="I565" s="71"/>
      <c r="J565" s="71"/>
    </row>
    <row r="566" spans="1:10">
      <c r="A566" s="71"/>
      <c r="B566" s="72"/>
      <c r="C566" s="71"/>
      <c r="D566" s="71"/>
      <c r="E566" s="71"/>
      <c r="F566" s="71"/>
      <c r="G566" s="71"/>
      <c r="H566" s="71"/>
      <c r="I566" s="71"/>
      <c r="J566" s="71"/>
    </row>
    <row r="567" spans="1:10">
      <c r="A567" s="71"/>
      <c r="B567" s="72"/>
      <c r="C567" s="71"/>
      <c r="D567" s="71"/>
      <c r="E567" s="71"/>
      <c r="F567" s="71"/>
      <c r="G567" s="71"/>
      <c r="H567" s="71"/>
      <c r="I567" s="71"/>
      <c r="J567" s="71"/>
    </row>
    <row r="568" spans="1:10">
      <c r="A568" s="71"/>
      <c r="B568" s="72"/>
      <c r="C568" s="71"/>
      <c r="D568" s="71"/>
      <c r="E568" s="71"/>
      <c r="F568" s="71"/>
      <c r="G568" s="71"/>
      <c r="H568" s="71"/>
      <c r="I568" s="71"/>
      <c r="J568" s="71"/>
    </row>
    <row r="569" spans="1:10">
      <c r="A569" s="71"/>
      <c r="B569" s="72"/>
      <c r="C569" s="71"/>
      <c r="D569" s="71"/>
      <c r="E569" s="71"/>
      <c r="F569" s="71"/>
      <c r="G569" s="71"/>
      <c r="H569" s="71"/>
      <c r="I569" s="71"/>
      <c r="J569" s="71"/>
    </row>
    <row r="570" spans="1:10">
      <c r="A570" s="71"/>
      <c r="B570" s="72"/>
      <c r="C570" s="71"/>
      <c r="D570" s="71"/>
      <c r="E570" s="71"/>
      <c r="F570" s="71"/>
      <c r="G570" s="71"/>
      <c r="H570" s="71"/>
      <c r="I570" s="71"/>
      <c r="J570" s="71"/>
    </row>
    <row r="571" spans="1:10">
      <c r="A571" s="71"/>
      <c r="B571" s="72"/>
      <c r="C571" s="71"/>
      <c r="D571" s="71"/>
      <c r="E571" s="71"/>
      <c r="F571" s="71"/>
      <c r="G571" s="71"/>
      <c r="H571" s="71"/>
      <c r="I571" s="71"/>
      <c r="J571" s="71"/>
    </row>
    <row r="572" spans="1:10">
      <c r="A572" s="71"/>
      <c r="B572" s="72"/>
      <c r="C572" s="71"/>
      <c r="D572" s="71"/>
      <c r="E572" s="71"/>
      <c r="F572" s="71"/>
      <c r="G572" s="71"/>
      <c r="H572" s="71"/>
      <c r="I572" s="71"/>
      <c r="J572" s="71"/>
    </row>
    <row r="573" spans="1:10">
      <c r="A573" s="71"/>
      <c r="B573" s="72"/>
      <c r="C573" s="71"/>
      <c r="D573" s="71"/>
      <c r="E573" s="71"/>
      <c r="F573" s="71"/>
      <c r="G573" s="71"/>
      <c r="H573" s="71"/>
      <c r="I573" s="71"/>
      <c r="J573" s="71"/>
    </row>
    <row r="574" spans="1:10">
      <c r="A574" s="71"/>
      <c r="B574" s="72"/>
      <c r="C574" s="71"/>
      <c r="D574" s="71"/>
      <c r="E574" s="71"/>
      <c r="F574" s="71"/>
      <c r="G574" s="71"/>
      <c r="H574" s="71"/>
      <c r="I574" s="71"/>
      <c r="J574" s="71"/>
    </row>
    <row r="575" spans="1:10">
      <c r="A575" s="71"/>
      <c r="B575" s="72"/>
      <c r="C575" s="71"/>
      <c r="D575" s="71"/>
      <c r="E575" s="71"/>
      <c r="F575" s="71"/>
      <c r="G575" s="71"/>
      <c r="H575" s="71"/>
      <c r="I575" s="71"/>
      <c r="J575" s="71"/>
    </row>
    <row r="576" spans="1:10">
      <c r="A576" s="71"/>
      <c r="B576" s="72"/>
      <c r="C576" s="71"/>
      <c r="D576" s="71"/>
      <c r="E576" s="71"/>
      <c r="F576" s="71"/>
      <c r="G576" s="71"/>
      <c r="H576" s="71"/>
      <c r="I576" s="71"/>
      <c r="J576" s="71"/>
    </row>
    <row r="577" spans="1:10">
      <c r="A577" s="71"/>
      <c r="B577" s="72"/>
      <c r="C577" s="71"/>
      <c r="D577" s="71"/>
      <c r="E577" s="71"/>
      <c r="F577" s="71"/>
      <c r="G577" s="71"/>
      <c r="H577" s="71"/>
      <c r="I577" s="71"/>
      <c r="J577" s="71"/>
    </row>
    <row r="578" spans="1:10">
      <c r="A578" s="71"/>
      <c r="B578" s="72"/>
      <c r="C578" s="71"/>
      <c r="D578" s="71"/>
      <c r="E578" s="71"/>
      <c r="F578" s="71"/>
      <c r="G578" s="71"/>
      <c r="H578" s="71"/>
      <c r="I578" s="71"/>
      <c r="J578" s="71"/>
    </row>
    <row r="579" spans="1:10">
      <c r="A579" s="71"/>
      <c r="B579" s="72"/>
      <c r="C579" s="71"/>
      <c r="D579" s="71"/>
      <c r="E579" s="71"/>
      <c r="F579" s="71"/>
      <c r="G579" s="71"/>
      <c r="H579" s="71"/>
      <c r="I579" s="71"/>
      <c r="J579" s="71"/>
    </row>
    <row r="580" spans="1:10">
      <c r="A580" s="71"/>
      <c r="B580" s="72"/>
      <c r="C580" s="71"/>
      <c r="D580" s="71"/>
      <c r="E580" s="71"/>
      <c r="F580" s="71"/>
      <c r="G580" s="71"/>
      <c r="H580" s="71"/>
      <c r="I580" s="71"/>
      <c r="J580" s="71"/>
    </row>
    <row r="581" spans="1:10">
      <c r="A581" s="71"/>
      <c r="B581" s="72"/>
      <c r="C581" s="71"/>
      <c r="D581" s="71"/>
      <c r="E581" s="71"/>
      <c r="F581" s="71"/>
      <c r="G581" s="71"/>
      <c r="H581" s="71"/>
      <c r="I581" s="71"/>
      <c r="J581" s="71"/>
    </row>
    <row r="582" spans="1:10">
      <c r="A582" s="71"/>
      <c r="B582" s="72"/>
      <c r="C582" s="71"/>
      <c r="D582" s="71"/>
      <c r="E582" s="71"/>
      <c r="F582" s="71"/>
      <c r="G582" s="71"/>
      <c r="H582" s="71"/>
      <c r="I582" s="71"/>
      <c r="J582" s="71"/>
    </row>
    <row r="583" spans="1:10">
      <c r="A583" s="71"/>
      <c r="B583" s="72"/>
      <c r="C583" s="71"/>
      <c r="D583" s="71"/>
      <c r="E583" s="71"/>
      <c r="F583" s="71"/>
      <c r="G583" s="71"/>
      <c r="H583" s="71"/>
      <c r="I583" s="71"/>
      <c r="J583" s="71"/>
    </row>
    <row r="584" spans="1:10">
      <c r="A584" s="71"/>
      <c r="B584" s="72"/>
      <c r="C584" s="71"/>
      <c r="D584" s="71"/>
      <c r="E584" s="71"/>
      <c r="F584" s="71"/>
      <c r="G584" s="71"/>
      <c r="H584" s="71"/>
      <c r="I584" s="71"/>
      <c r="J584" s="71"/>
    </row>
    <row r="585" spans="1:10">
      <c r="A585" s="71"/>
      <c r="B585" s="72"/>
      <c r="C585" s="71"/>
      <c r="D585" s="71"/>
      <c r="E585" s="71"/>
      <c r="F585" s="71"/>
      <c r="G585" s="71"/>
      <c r="H585" s="71"/>
      <c r="I585" s="71"/>
      <c r="J585" s="71"/>
    </row>
    <row r="586" spans="1:10">
      <c r="A586" s="71"/>
      <c r="B586" s="72"/>
      <c r="C586" s="71"/>
      <c r="D586" s="71"/>
      <c r="E586" s="71"/>
      <c r="F586" s="71"/>
      <c r="G586" s="71"/>
      <c r="H586" s="71"/>
      <c r="I586" s="71"/>
      <c r="J586" s="71"/>
    </row>
    <row r="587" spans="1:10">
      <c r="A587" s="71"/>
      <c r="B587" s="72"/>
      <c r="C587" s="71"/>
      <c r="D587" s="71"/>
      <c r="E587" s="71"/>
      <c r="F587" s="71"/>
      <c r="G587" s="71"/>
      <c r="H587" s="71"/>
      <c r="I587" s="71"/>
      <c r="J587" s="71"/>
    </row>
    <row r="588" spans="1:10">
      <c r="A588" s="71"/>
      <c r="B588" s="72"/>
      <c r="C588" s="71"/>
      <c r="D588" s="71"/>
      <c r="E588" s="71"/>
      <c r="F588" s="71"/>
      <c r="G588" s="71"/>
      <c r="H588" s="71"/>
      <c r="I588" s="71"/>
      <c r="J588" s="71"/>
    </row>
    <row r="589" spans="1:10">
      <c r="A589" s="71"/>
      <c r="B589" s="72"/>
      <c r="C589" s="71"/>
      <c r="D589" s="71"/>
      <c r="E589" s="71"/>
      <c r="F589" s="71"/>
      <c r="G589" s="71"/>
      <c r="H589" s="71"/>
      <c r="I589" s="71"/>
      <c r="J589" s="71"/>
    </row>
    <row r="590" spans="1:10">
      <c r="A590" s="71"/>
      <c r="B590" s="72"/>
      <c r="C590" s="71"/>
      <c r="D590" s="71"/>
      <c r="E590" s="71"/>
      <c r="F590" s="71"/>
      <c r="G590" s="71"/>
      <c r="H590" s="71"/>
      <c r="I590" s="71"/>
      <c r="J590" s="71"/>
    </row>
    <row r="591" spans="1:10">
      <c r="A591" s="71"/>
      <c r="B591" s="72"/>
      <c r="C591" s="71"/>
      <c r="D591" s="71"/>
      <c r="E591" s="71"/>
      <c r="F591" s="71"/>
      <c r="G591" s="71"/>
      <c r="H591" s="71"/>
      <c r="I591" s="71"/>
      <c r="J591" s="71"/>
    </row>
    <row r="592" spans="1:10">
      <c r="A592" s="71"/>
      <c r="B592" s="72"/>
      <c r="C592" s="71"/>
      <c r="D592" s="71"/>
      <c r="E592" s="71"/>
      <c r="F592" s="71"/>
      <c r="G592" s="71"/>
      <c r="H592" s="71"/>
      <c r="I592" s="71"/>
      <c r="J592" s="71"/>
    </row>
    <row r="593" spans="1:10">
      <c r="A593" s="71"/>
      <c r="B593" s="72"/>
      <c r="C593" s="71"/>
      <c r="D593" s="71"/>
      <c r="E593" s="71"/>
      <c r="F593" s="71"/>
      <c r="G593" s="71"/>
      <c r="H593" s="71"/>
      <c r="I593" s="71"/>
      <c r="J593" s="71"/>
    </row>
    <row r="594" spans="1:10">
      <c r="A594" s="71"/>
      <c r="B594" s="72"/>
      <c r="C594" s="71"/>
      <c r="D594" s="71"/>
      <c r="E594" s="71"/>
      <c r="F594" s="71"/>
      <c r="G594" s="71"/>
      <c r="H594" s="71"/>
      <c r="I594" s="71"/>
      <c r="J594" s="71"/>
    </row>
    <row r="595" spans="1:10">
      <c r="A595" s="71"/>
      <c r="B595" s="72"/>
      <c r="C595" s="71"/>
      <c r="D595" s="71"/>
      <c r="E595" s="71"/>
      <c r="F595" s="71"/>
      <c r="G595" s="71"/>
      <c r="H595" s="71"/>
      <c r="I595" s="71"/>
      <c r="J595" s="71"/>
    </row>
    <row r="596" spans="1:10">
      <c r="A596" s="71"/>
      <c r="B596" s="72"/>
      <c r="C596" s="71"/>
      <c r="D596" s="71"/>
      <c r="E596" s="71"/>
      <c r="F596" s="71"/>
      <c r="G596" s="71"/>
      <c r="H596" s="71"/>
      <c r="I596" s="71"/>
      <c r="J596" s="71"/>
    </row>
    <row r="597" spans="1:10">
      <c r="A597" s="71"/>
      <c r="B597" s="72"/>
      <c r="C597" s="71"/>
      <c r="D597" s="71"/>
      <c r="E597" s="71"/>
      <c r="F597" s="71"/>
      <c r="G597" s="71"/>
      <c r="H597" s="71"/>
      <c r="I597" s="71"/>
      <c r="J597" s="71"/>
    </row>
    <row r="598" spans="1:10">
      <c r="A598" s="71"/>
      <c r="B598" s="72"/>
      <c r="C598" s="71"/>
      <c r="D598" s="71"/>
      <c r="E598" s="71"/>
      <c r="F598" s="71"/>
      <c r="G598" s="71"/>
      <c r="H598" s="71"/>
      <c r="I598" s="71"/>
      <c r="J598" s="71"/>
    </row>
    <row r="599" spans="1:10">
      <c r="A599" s="71"/>
      <c r="B599" s="72"/>
      <c r="C599" s="71"/>
      <c r="D599" s="71"/>
      <c r="E599" s="71"/>
      <c r="F599" s="71"/>
      <c r="G599" s="71"/>
      <c r="H599" s="71"/>
      <c r="I599" s="71"/>
      <c r="J599" s="71"/>
    </row>
    <row r="600" spans="1:10">
      <c r="A600" s="71"/>
      <c r="B600" s="72"/>
      <c r="C600" s="71"/>
      <c r="D600" s="71"/>
      <c r="E600" s="71"/>
      <c r="F600" s="71"/>
      <c r="G600" s="71"/>
      <c r="H600" s="71"/>
      <c r="I600" s="71"/>
      <c r="J600" s="71"/>
    </row>
    <row r="601" spans="1:10">
      <c r="A601" s="71"/>
      <c r="B601" s="72"/>
      <c r="C601" s="71"/>
      <c r="D601" s="71"/>
      <c r="E601" s="71"/>
      <c r="F601" s="71"/>
      <c r="G601" s="71"/>
      <c r="H601" s="71"/>
      <c r="I601" s="71"/>
      <c r="J601" s="71"/>
    </row>
    <row r="602" spans="1:10">
      <c r="A602" s="71"/>
      <c r="B602" s="72"/>
      <c r="C602" s="71"/>
      <c r="D602" s="71"/>
      <c r="E602" s="71"/>
      <c r="F602" s="71"/>
      <c r="G602" s="71"/>
      <c r="H602" s="71"/>
      <c r="I602" s="71"/>
      <c r="J602" s="71"/>
    </row>
    <row r="603" spans="1:10">
      <c r="A603" s="71"/>
      <c r="B603" s="72"/>
      <c r="C603" s="71"/>
      <c r="D603" s="71"/>
      <c r="E603" s="71"/>
      <c r="F603" s="71"/>
      <c r="G603" s="71"/>
      <c r="H603" s="71"/>
      <c r="I603" s="71"/>
      <c r="J603" s="71"/>
    </row>
    <row r="604" spans="1:10">
      <c r="A604" s="71"/>
      <c r="B604" s="72"/>
      <c r="C604" s="71"/>
      <c r="D604" s="71"/>
      <c r="E604" s="71"/>
      <c r="F604" s="71"/>
      <c r="G604" s="71"/>
      <c r="H604" s="71"/>
      <c r="I604" s="71"/>
      <c r="J604" s="71"/>
    </row>
    <row r="605" spans="1:10">
      <c r="A605" s="71"/>
      <c r="B605" s="72"/>
      <c r="C605" s="71"/>
      <c r="D605" s="71"/>
      <c r="E605" s="71"/>
      <c r="F605" s="71"/>
      <c r="G605" s="71"/>
      <c r="H605" s="71"/>
      <c r="I605" s="71"/>
      <c r="J605" s="71"/>
    </row>
    <row r="606" spans="1:10">
      <c r="A606" s="71"/>
      <c r="B606" s="72"/>
      <c r="C606" s="71"/>
      <c r="D606" s="71"/>
      <c r="E606" s="71"/>
      <c r="F606" s="71"/>
      <c r="G606" s="71"/>
      <c r="H606" s="71"/>
      <c r="I606" s="71"/>
      <c r="J606" s="71"/>
    </row>
    <row r="607" spans="1:10">
      <c r="A607" s="71"/>
      <c r="B607" s="72"/>
      <c r="C607" s="71"/>
      <c r="D607" s="71"/>
      <c r="E607" s="71"/>
      <c r="F607" s="71"/>
      <c r="G607" s="71"/>
      <c r="H607" s="71"/>
      <c r="I607" s="71"/>
      <c r="J607" s="71"/>
    </row>
    <row r="608" spans="1:10">
      <c r="A608" s="71"/>
      <c r="B608" s="72"/>
      <c r="C608" s="71"/>
      <c r="D608" s="71"/>
      <c r="E608" s="71"/>
      <c r="F608" s="71"/>
      <c r="G608" s="71"/>
      <c r="H608" s="71"/>
      <c r="I608" s="71"/>
      <c r="J608" s="71"/>
    </row>
    <row r="609" spans="1:10">
      <c r="A609" s="71"/>
      <c r="B609" s="72"/>
      <c r="C609" s="71"/>
      <c r="D609" s="71"/>
      <c r="E609" s="71"/>
      <c r="F609" s="71"/>
      <c r="G609" s="71"/>
      <c r="H609" s="71"/>
      <c r="I609" s="71"/>
      <c r="J609" s="71"/>
    </row>
    <row r="610" spans="1:10">
      <c r="A610" s="71"/>
      <c r="B610" s="72"/>
      <c r="C610" s="71"/>
      <c r="D610" s="71"/>
      <c r="E610" s="71"/>
      <c r="F610" s="71"/>
      <c r="G610" s="71"/>
      <c r="H610" s="71"/>
      <c r="I610" s="71"/>
      <c r="J610" s="71"/>
    </row>
    <row r="611" spans="1:10">
      <c r="A611" s="71"/>
      <c r="B611" s="72"/>
      <c r="C611" s="71"/>
      <c r="D611" s="71"/>
      <c r="E611" s="71"/>
      <c r="F611" s="71"/>
      <c r="G611" s="71"/>
      <c r="H611" s="71"/>
      <c r="I611" s="71"/>
      <c r="J611" s="71"/>
    </row>
    <row r="612" spans="1:10">
      <c r="A612" s="71"/>
      <c r="B612" s="72"/>
      <c r="C612" s="71"/>
      <c r="D612" s="71"/>
      <c r="E612" s="71"/>
      <c r="F612" s="71"/>
      <c r="G612" s="71"/>
      <c r="H612" s="71"/>
      <c r="I612" s="71"/>
      <c r="J612" s="71"/>
    </row>
    <row r="613" spans="1:10">
      <c r="A613" s="71"/>
      <c r="B613" s="72"/>
      <c r="C613" s="71"/>
      <c r="D613" s="71"/>
      <c r="E613" s="71"/>
      <c r="F613" s="71"/>
      <c r="G613" s="71"/>
      <c r="H613" s="71"/>
      <c r="I613" s="71"/>
      <c r="J613" s="71"/>
    </row>
    <row r="614" spans="1:10">
      <c r="A614" s="71"/>
      <c r="B614" s="72"/>
      <c r="C614" s="71"/>
      <c r="D614" s="71"/>
      <c r="E614" s="71"/>
      <c r="F614" s="71"/>
      <c r="G614" s="71"/>
      <c r="H614" s="71"/>
      <c r="I614" s="71"/>
      <c r="J614" s="71"/>
    </row>
    <row r="615" spans="1:10">
      <c r="A615" s="71"/>
      <c r="B615" s="72"/>
      <c r="C615" s="71"/>
      <c r="D615" s="71"/>
      <c r="E615" s="71"/>
      <c r="F615" s="71"/>
      <c r="G615" s="71"/>
      <c r="H615" s="71"/>
      <c r="I615" s="71"/>
      <c r="J615" s="71"/>
    </row>
    <row r="616" spans="1:10">
      <c r="A616" s="71"/>
      <c r="B616" s="72"/>
      <c r="C616" s="71"/>
      <c r="D616" s="71"/>
      <c r="E616" s="71"/>
      <c r="F616" s="71"/>
      <c r="G616" s="71"/>
      <c r="H616" s="71"/>
      <c r="I616" s="71"/>
      <c r="J616" s="71"/>
    </row>
    <row r="617" spans="1:10">
      <c r="A617" s="71"/>
      <c r="B617" s="72"/>
      <c r="C617" s="71"/>
      <c r="D617" s="71"/>
      <c r="E617" s="71"/>
      <c r="F617" s="71"/>
      <c r="G617" s="71"/>
      <c r="H617" s="71"/>
      <c r="I617" s="71"/>
      <c r="J617" s="71"/>
    </row>
    <row r="618" spans="1:10">
      <c r="A618" s="71"/>
      <c r="B618" s="72"/>
      <c r="C618" s="71"/>
      <c r="D618" s="71"/>
      <c r="E618" s="71"/>
      <c r="F618" s="71"/>
      <c r="G618" s="71"/>
      <c r="H618" s="71"/>
      <c r="I618" s="71"/>
      <c r="J618" s="71"/>
    </row>
    <row r="619" spans="1:10">
      <c r="A619" s="71"/>
      <c r="B619" s="72"/>
      <c r="C619" s="71"/>
      <c r="D619" s="71"/>
      <c r="E619" s="71"/>
      <c r="F619" s="71"/>
      <c r="G619" s="71"/>
      <c r="H619" s="71"/>
      <c r="I619" s="71"/>
      <c r="J619" s="71"/>
    </row>
    <row r="620" spans="1:10">
      <c r="A620" s="71"/>
      <c r="B620" s="72"/>
      <c r="C620" s="71"/>
      <c r="D620" s="71"/>
      <c r="E620" s="71"/>
      <c r="F620" s="71"/>
      <c r="G620" s="71"/>
      <c r="H620" s="71"/>
      <c r="I620" s="71"/>
      <c r="J620" s="71"/>
    </row>
    <row r="621" spans="1:10">
      <c r="A621" s="71"/>
      <c r="B621" s="72"/>
      <c r="C621" s="71"/>
      <c r="D621" s="71"/>
      <c r="E621" s="71"/>
      <c r="F621" s="71"/>
      <c r="G621" s="71"/>
      <c r="H621" s="71"/>
      <c r="I621" s="71"/>
      <c r="J621" s="71"/>
    </row>
    <row r="622" spans="1:10">
      <c r="A622" s="71"/>
      <c r="B622" s="72"/>
      <c r="C622" s="71"/>
      <c r="D622" s="71"/>
      <c r="E622" s="71"/>
      <c r="F622" s="71"/>
      <c r="G622" s="71"/>
      <c r="H622" s="71"/>
      <c r="I622" s="71"/>
      <c r="J622" s="71"/>
    </row>
    <row r="623" spans="1:10">
      <c r="A623" s="71"/>
      <c r="B623" s="72"/>
      <c r="C623" s="71"/>
      <c r="D623" s="71"/>
      <c r="E623" s="71"/>
      <c r="F623" s="71"/>
      <c r="G623" s="71"/>
      <c r="H623" s="71"/>
      <c r="I623" s="71"/>
      <c r="J623" s="71"/>
    </row>
    <row r="624" spans="1:10">
      <c r="A624" s="71"/>
      <c r="B624" s="72"/>
      <c r="C624" s="71"/>
      <c r="D624" s="71"/>
      <c r="E624" s="71"/>
      <c r="F624" s="71"/>
      <c r="G624" s="71"/>
      <c r="H624" s="71"/>
      <c r="I624" s="71"/>
      <c r="J624" s="71"/>
    </row>
    <row r="625" spans="1:10">
      <c r="A625" s="71"/>
      <c r="B625" s="72"/>
      <c r="C625" s="71"/>
      <c r="D625" s="71"/>
      <c r="E625" s="71"/>
      <c r="F625" s="71"/>
      <c r="G625" s="71"/>
      <c r="H625" s="71"/>
      <c r="I625" s="71"/>
      <c r="J625" s="71"/>
    </row>
    <row r="626" spans="1:10">
      <c r="A626" s="71"/>
      <c r="B626" s="72"/>
      <c r="C626" s="71"/>
      <c r="D626" s="71"/>
      <c r="E626" s="71"/>
      <c r="F626" s="71"/>
      <c r="G626" s="71"/>
      <c r="H626" s="71"/>
      <c r="I626" s="71"/>
      <c r="J626" s="71"/>
    </row>
    <row r="627" spans="1:10">
      <c r="A627" s="71"/>
      <c r="B627" s="72"/>
      <c r="C627" s="71"/>
      <c r="D627" s="71"/>
      <c r="E627" s="71"/>
      <c r="F627" s="71"/>
      <c r="G627" s="71"/>
      <c r="H627" s="71"/>
      <c r="I627" s="71"/>
      <c r="J627" s="71"/>
    </row>
    <row r="628" spans="1:10">
      <c r="A628" s="71"/>
      <c r="B628" s="72"/>
      <c r="C628" s="71"/>
      <c r="D628" s="71"/>
      <c r="E628" s="71"/>
      <c r="F628" s="71"/>
      <c r="G628" s="71"/>
      <c r="H628" s="71"/>
      <c r="I628" s="71"/>
      <c r="J628" s="71"/>
    </row>
    <row r="629" spans="1:10">
      <c r="A629" s="71"/>
      <c r="B629" s="72"/>
      <c r="C629" s="71"/>
      <c r="D629" s="71"/>
      <c r="E629" s="71"/>
      <c r="F629" s="71"/>
      <c r="G629" s="71"/>
      <c r="H629" s="71"/>
      <c r="I629" s="71"/>
      <c r="J629" s="71"/>
    </row>
    <row r="630" spans="1:10">
      <c r="A630" s="71"/>
      <c r="B630" s="72"/>
      <c r="C630" s="71"/>
      <c r="D630" s="71"/>
      <c r="E630" s="71"/>
      <c r="F630" s="71"/>
      <c r="G630" s="71"/>
      <c r="H630" s="71"/>
      <c r="I630" s="71"/>
      <c r="J630" s="71"/>
    </row>
    <row r="631" spans="1:10">
      <c r="A631" s="71"/>
      <c r="B631" s="72"/>
      <c r="C631" s="71"/>
      <c r="D631" s="71"/>
      <c r="E631" s="71"/>
      <c r="F631" s="71"/>
      <c r="G631" s="71"/>
      <c r="H631" s="71"/>
      <c r="I631" s="71"/>
      <c r="J631" s="71"/>
    </row>
    <row r="632" spans="1:10">
      <c r="A632" s="71"/>
      <c r="B632" s="72"/>
      <c r="C632" s="71"/>
      <c r="D632" s="71"/>
      <c r="E632" s="71"/>
      <c r="F632" s="71"/>
      <c r="G632" s="71"/>
      <c r="H632" s="71"/>
      <c r="I632" s="71"/>
      <c r="J632" s="71"/>
    </row>
    <row r="633" spans="1:10">
      <c r="A633" s="71"/>
      <c r="B633" s="72"/>
      <c r="C633" s="71"/>
      <c r="D633" s="71"/>
      <c r="E633" s="71"/>
      <c r="F633" s="71"/>
      <c r="G633" s="71"/>
      <c r="H633" s="71"/>
      <c r="I633" s="71"/>
      <c r="J633" s="71"/>
    </row>
    <row r="634" spans="1:10">
      <c r="A634" s="71"/>
      <c r="B634" s="72"/>
      <c r="C634" s="71"/>
      <c r="D634" s="71"/>
      <c r="E634" s="71"/>
      <c r="F634" s="71"/>
      <c r="G634" s="71"/>
      <c r="H634" s="71"/>
      <c r="I634" s="71"/>
      <c r="J634" s="71"/>
    </row>
    <row r="635" spans="1:10">
      <c r="A635" s="71"/>
      <c r="B635" s="72"/>
      <c r="C635" s="71"/>
      <c r="D635" s="71"/>
      <c r="E635" s="71"/>
      <c r="F635" s="71"/>
      <c r="G635" s="71"/>
      <c r="H635" s="71"/>
      <c r="I635" s="71"/>
      <c r="J635" s="71"/>
    </row>
    <row r="636" spans="1:10">
      <c r="A636" s="71"/>
      <c r="B636" s="72"/>
      <c r="C636" s="71"/>
      <c r="D636" s="71"/>
      <c r="E636" s="71"/>
      <c r="F636" s="71"/>
      <c r="G636" s="71"/>
      <c r="H636" s="71"/>
      <c r="I636" s="71"/>
      <c r="J636" s="71"/>
    </row>
    <row r="637" spans="1:10">
      <c r="A637" s="71"/>
      <c r="B637" s="72"/>
      <c r="C637" s="71"/>
      <c r="D637" s="71"/>
      <c r="E637" s="71"/>
      <c r="F637" s="71"/>
      <c r="G637" s="71"/>
      <c r="H637" s="71"/>
      <c r="I637" s="71"/>
      <c r="J637" s="71"/>
    </row>
    <row r="638" spans="1:10">
      <c r="A638" s="71"/>
      <c r="B638" s="72"/>
      <c r="C638" s="71"/>
      <c r="D638" s="71"/>
      <c r="E638" s="71"/>
      <c r="F638" s="71"/>
      <c r="G638" s="71"/>
      <c r="H638" s="71"/>
      <c r="I638" s="71"/>
      <c r="J638" s="71"/>
    </row>
    <row r="639" spans="1:10">
      <c r="A639" s="71"/>
      <c r="B639" s="72"/>
      <c r="C639" s="71"/>
      <c r="D639" s="71"/>
      <c r="E639" s="71"/>
      <c r="F639" s="71"/>
      <c r="G639" s="71"/>
      <c r="H639" s="71"/>
      <c r="I639" s="71"/>
      <c r="J639" s="71"/>
    </row>
    <row r="640" spans="1:10">
      <c r="A640" s="71"/>
      <c r="B640" s="72"/>
      <c r="C640" s="71"/>
      <c r="D640" s="71"/>
      <c r="E640" s="71"/>
      <c r="F640" s="71"/>
      <c r="G640" s="71"/>
      <c r="H640" s="71"/>
      <c r="I640" s="71"/>
      <c r="J640" s="71"/>
    </row>
    <row r="641" spans="1:10">
      <c r="A641" s="71"/>
      <c r="B641" s="72"/>
      <c r="C641" s="71"/>
      <c r="D641" s="71"/>
      <c r="E641" s="71"/>
      <c r="F641" s="71"/>
      <c r="G641" s="71"/>
      <c r="H641" s="71"/>
      <c r="I641" s="71"/>
      <c r="J641" s="71"/>
    </row>
    <row r="642" spans="1:10">
      <c r="A642" s="71"/>
      <c r="B642" s="72"/>
      <c r="C642" s="71"/>
      <c r="D642" s="71"/>
      <c r="E642" s="71"/>
      <c r="F642" s="71"/>
      <c r="G642" s="71"/>
      <c r="H642" s="71"/>
      <c r="I642" s="71"/>
      <c r="J642" s="71"/>
    </row>
    <row r="643" spans="1:10">
      <c r="A643" s="71"/>
      <c r="B643" s="72"/>
      <c r="C643" s="71"/>
      <c r="D643" s="71"/>
      <c r="E643" s="71"/>
      <c r="F643" s="71"/>
      <c r="G643" s="71"/>
      <c r="H643" s="71"/>
      <c r="I643" s="71"/>
      <c r="J643" s="71"/>
    </row>
    <row r="644" spans="1:10">
      <c r="A644" s="71"/>
      <c r="B644" s="72"/>
      <c r="C644" s="71"/>
      <c r="D644" s="71"/>
      <c r="E644" s="71"/>
      <c r="F644" s="71"/>
      <c r="G644" s="71"/>
      <c r="H644" s="71"/>
      <c r="I644" s="71"/>
      <c r="J644" s="71"/>
    </row>
    <row r="645" spans="1:10">
      <c r="A645" s="71"/>
      <c r="B645" s="72"/>
      <c r="C645" s="71"/>
      <c r="D645" s="71"/>
      <c r="E645" s="71"/>
      <c r="F645" s="71"/>
      <c r="G645" s="71"/>
      <c r="H645" s="71"/>
      <c r="I645" s="71"/>
      <c r="J645" s="71"/>
    </row>
    <row r="646" spans="1:10">
      <c r="A646" s="71"/>
      <c r="B646" s="72"/>
      <c r="C646" s="71"/>
      <c r="D646" s="71"/>
      <c r="E646" s="71"/>
      <c r="F646" s="71"/>
      <c r="G646" s="71"/>
      <c r="H646" s="71"/>
      <c r="I646" s="71"/>
      <c r="J646" s="71"/>
    </row>
    <row r="647" spans="1:10">
      <c r="A647" s="71"/>
      <c r="B647" s="72"/>
      <c r="C647" s="71"/>
      <c r="D647" s="71"/>
      <c r="E647" s="71"/>
      <c r="F647" s="71"/>
      <c r="G647" s="71"/>
      <c r="H647" s="71"/>
      <c r="I647" s="71"/>
      <c r="J647" s="71"/>
    </row>
    <row r="648" spans="1:10">
      <c r="A648" s="71"/>
      <c r="B648" s="72"/>
      <c r="C648" s="71"/>
      <c r="D648" s="71"/>
      <c r="E648" s="71"/>
      <c r="F648" s="71"/>
      <c r="G648" s="71"/>
      <c r="H648" s="71"/>
      <c r="I648" s="71"/>
      <c r="J648" s="71"/>
    </row>
    <row r="649" spans="1:10">
      <c r="A649" s="71"/>
      <c r="B649" s="72"/>
      <c r="C649" s="71"/>
      <c r="D649" s="71"/>
      <c r="E649" s="71"/>
      <c r="F649" s="71"/>
      <c r="G649" s="71"/>
      <c r="H649" s="71"/>
      <c r="I649" s="71"/>
      <c r="J649" s="71"/>
    </row>
    <row r="650" spans="1:10">
      <c r="A650" s="71"/>
      <c r="B650" s="72"/>
      <c r="C650" s="71"/>
      <c r="D650" s="71"/>
      <c r="E650" s="71"/>
      <c r="F650" s="71"/>
      <c r="G650" s="71"/>
      <c r="H650" s="71"/>
      <c r="I650" s="71"/>
      <c r="J650" s="71"/>
    </row>
    <row r="651" spans="1:10">
      <c r="A651" s="71"/>
      <c r="B651" s="72"/>
      <c r="C651" s="71"/>
      <c r="D651" s="71"/>
      <c r="E651" s="71"/>
      <c r="F651" s="71"/>
      <c r="G651" s="71"/>
      <c r="H651" s="71"/>
      <c r="I651" s="71"/>
      <c r="J651" s="71"/>
    </row>
    <row r="652" spans="1:10">
      <c r="A652" s="71"/>
      <c r="B652" s="72"/>
      <c r="C652" s="71"/>
      <c r="D652" s="71"/>
      <c r="E652" s="71"/>
      <c r="F652" s="71"/>
      <c r="G652" s="71"/>
      <c r="H652" s="71"/>
      <c r="I652" s="71"/>
      <c r="J652" s="71"/>
    </row>
    <row r="653" spans="1:10">
      <c r="A653" s="71"/>
      <c r="B653" s="72"/>
      <c r="C653" s="71"/>
      <c r="D653" s="71"/>
      <c r="E653" s="71"/>
      <c r="F653" s="71"/>
      <c r="G653" s="71"/>
      <c r="H653" s="71"/>
      <c r="I653" s="71"/>
      <c r="J653" s="71"/>
    </row>
    <row r="654" spans="1:10">
      <c r="A654" s="71"/>
      <c r="B654" s="72"/>
      <c r="C654" s="71"/>
      <c r="D654" s="71"/>
      <c r="E654" s="71"/>
      <c r="F654" s="71"/>
      <c r="G654" s="71"/>
      <c r="H654" s="71"/>
      <c r="I654" s="71"/>
      <c r="J654" s="71"/>
    </row>
    <row r="655" spans="1:10">
      <c r="A655" s="71"/>
      <c r="B655" s="72"/>
      <c r="C655" s="71"/>
      <c r="D655" s="71"/>
      <c r="E655" s="71"/>
      <c r="F655" s="71"/>
      <c r="G655" s="71"/>
      <c r="H655" s="71"/>
      <c r="I655" s="71"/>
      <c r="J655" s="71"/>
    </row>
    <row r="656" spans="1:10">
      <c r="A656" s="71"/>
      <c r="B656" s="72"/>
      <c r="C656" s="71"/>
      <c r="D656" s="71"/>
      <c r="E656" s="71"/>
      <c r="F656" s="71"/>
      <c r="G656" s="71"/>
      <c r="H656" s="71"/>
      <c r="I656" s="71"/>
      <c r="J656" s="71"/>
    </row>
    <row r="657" spans="1:10">
      <c r="A657" s="71"/>
      <c r="B657" s="72"/>
      <c r="C657" s="71"/>
      <c r="D657" s="71"/>
      <c r="E657" s="71"/>
      <c r="F657" s="71"/>
      <c r="G657" s="71"/>
      <c r="H657" s="71"/>
      <c r="I657" s="71"/>
      <c r="J657" s="71"/>
    </row>
    <row r="658" spans="1:10">
      <c r="A658" s="71"/>
      <c r="B658" s="72"/>
      <c r="C658" s="71"/>
      <c r="D658" s="71"/>
      <c r="E658" s="71"/>
      <c r="F658" s="71"/>
      <c r="G658" s="71"/>
      <c r="H658" s="71"/>
      <c r="I658" s="71"/>
      <c r="J658" s="71"/>
    </row>
    <row r="659" spans="1:10">
      <c r="A659" s="71"/>
      <c r="B659" s="72"/>
      <c r="C659" s="71"/>
      <c r="D659" s="71"/>
      <c r="E659" s="71"/>
      <c r="F659" s="71"/>
      <c r="G659" s="71"/>
      <c r="H659" s="71"/>
      <c r="I659" s="71"/>
      <c r="J659" s="71"/>
    </row>
    <row r="660" spans="1:10">
      <c r="A660" s="71"/>
      <c r="B660" s="72"/>
      <c r="C660" s="71"/>
      <c r="D660" s="71"/>
      <c r="E660" s="71"/>
      <c r="F660" s="71"/>
      <c r="G660" s="71"/>
      <c r="H660" s="71"/>
      <c r="I660" s="71"/>
      <c r="J660" s="71"/>
    </row>
    <row r="661" spans="1:10">
      <c r="A661" s="71"/>
      <c r="B661" s="72"/>
      <c r="C661" s="71"/>
      <c r="D661" s="71"/>
      <c r="E661" s="71"/>
      <c r="F661" s="71"/>
      <c r="G661" s="71"/>
      <c r="H661" s="71"/>
      <c r="I661" s="71"/>
      <c r="J661" s="71"/>
    </row>
    <row r="662" spans="1:10">
      <c r="A662" s="71"/>
      <c r="B662" s="72"/>
      <c r="C662" s="71"/>
      <c r="D662" s="71"/>
      <c r="E662" s="71"/>
      <c r="F662" s="71"/>
      <c r="G662" s="71"/>
      <c r="H662" s="71"/>
      <c r="I662" s="71"/>
      <c r="J662" s="71"/>
    </row>
    <row r="663" spans="1:10">
      <c r="A663" s="71"/>
      <c r="B663" s="72"/>
      <c r="C663" s="71"/>
      <c r="D663" s="71"/>
      <c r="E663" s="71"/>
      <c r="F663" s="71"/>
      <c r="G663" s="71"/>
      <c r="H663" s="71"/>
      <c r="I663" s="71"/>
      <c r="J663" s="71"/>
    </row>
    <row r="664" spans="1:10">
      <c r="A664" s="71"/>
      <c r="B664" s="72"/>
      <c r="C664" s="71"/>
      <c r="D664" s="71"/>
      <c r="E664" s="71"/>
      <c r="F664" s="71"/>
      <c r="G664" s="71"/>
      <c r="H664" s="71"/>
      <c r="I664" s="71"/>
      <c r="J664" s="71"/>
    </row>
    <row r="665" spans="1:10">
      <c r="A665" s="71"/>
      <c r="B665" s="72"/>
      <c r="C665" s="71"/>
      <c r="D665" s="71"/>
      <c r="E665" s="71"/>
      <c r="F665" s="71"/>
      <c r="G665" s="71"/>
      <c r="H665" s="71"/>
      <c r="I665" s="71"/>
      <c r="J665" s="71"/>
    </row>
    <row r="666" spans="1:10">
      <c r="A666" s="71"/>
      <c r="B666" s="72"/>
      <c r="C666" s="71"/>
      <c r="D666" s="71"/>
      <c r="E666" s="71"/>
      <c r="F666" s="71"/>
      <c r="G666" s="71"/>
      <c r="H666" s="71"/>
      <c r="I666" s="71"/>
      <c r="J666" s="71"/>
    </row>
    <row r="667" spans="1:10">
      <c r="A667" s="71"/>
      <c r="B667" s="72"/>
      <c r="C667" s="71"/>
      <c r="D667" s="71"/>
      <c r="E667" s="71"/>
      <c r="F667" s="71"/>
      <c r="G667" s="71"/>
      <c r="H667" s="71"/>
      <c r="I667" s="71"/>
      <c r="J667" s="71"/>
    </row>
    <row r="668" spans="1:10">
      <c r="A668" s="71"/>
      <c r="B668" s="72"/>
      <c r="C668" s="71"/>
      <c r="D668" s="71"/>
      <c r="E668" s="71"/>
      <c r="F668" s="71"/>
      <c r="G668" s="71"/>
      <c r="H668" s="71"/>
      <c r="I668" s="71"/>
      <c r="J668" s="71"/>
    </row>
    <row r="669" spans="1:10">
      <c r="A669" s="71"/>
      <c r="B669" s="72"/>
      <c r="C669" s="71"/>
      <c r="D669" s="71"/>
      <c r="E669" s="71"/>
      <c r="F669" s="71"/>
      <c r="G669" s="71"/>
      <c r="H669" s="71"/>
      <c r="I669" s="71"/>
      <c r="J669" s="71"/>
    </row>
    <row r="670" spans="1:10">
      <c r="A670" s="71"/>
      <c r="B670" s="72"/>
      <c r="C670" s="71"/>
      <c r="D670" s="71"/>
      <c r="E670" s="71"/>
      <c r="F670" s="71"/>
      <c r="G670" s="71"/>
      <c r="H670" s="71"/>
      <c r="I670" s="71"/>
      <c r="J670" s="71"/>
    </row>
    <row r="671" spans="1:10">
      <c r="A671" s="71"/>
      <c r="B671" s="72"/>
      <c r="C671" s="71"/>
      <c r="D671" s="71"/>
      <c r="E671" s="71"/>
      <c r="F671" s="71"/>
      <c r="G671" s="71"/>
      <c r="H671" s="71"/>
      <c r="I671" s="71"/>
      <c r="J671" s="71"/>
    </row>
    <row r="672" spans="1:10">
      <c r="A672" s="71"/>
      <c r="B672" s="72"/>
      <c r="C672" s="71"/>
      <c r="D672" s="71"/>
      <c r="E672" s="71"/>
      <c r="F672" s="71"/>
      <c r="G672" s="71"/>
      <c r="H672" s="71"/>
      <c r="I672" s="71"/>
      <c r="J672" s="71"/>
    </row>
    <row r="673" spans="1:10">
      <c r="A673" s="71"/>
      <c r="B673" s="72"/>
      <c r="C673" s="71"/>
      <c r="D673" s="71"/>
      <c r="E673" s="71"/>
      <c r="F673" s="71"/>
      <c r="G673" s="71"/>
      <c r="H673" s="71"/>
      <c r="I673" s="71"/>
      <c r="J673" s="71"/>
    </row>
    <row r="674" spans="1:10">
      <c r="A674" s="71"/>
      <c r="B674" s="72"/>
      <c r="C674" s="71"/>
      <c r="D674" s="71"/>
      <c r="E674" s="71"/>
      <c r="F674" s="71"/>
      <c r="G674" s="71"/>
      <c r="H674" s="71"/>
      <c r="I674" s="71"/>
      <c r="J674" s="71"/>
    </row>
    <row r="675" spans="1:10">
      <c r="A675" s="71"/>
      <c r="B675" s="72"/>
      <c r="C675" s="71"/>
      <c r="D675" s="71"/>
      <c r="E675" s="71"/>
      <c r="F675" s="71"/>
      <c r="G675" s="71"/>
      <c r="H675" s="71"/>
      <c r="I675" s="71"/>
      <c r="J675" s="71"/>
    </row>
    <row r="676" spans="1:10">
      <c r="A676" s="71"/>
      <c r="B676" s="72"/>
      <c r="C676" s="71"/>
      <c r="D676" s="71"/>
      <c r="E676" s="71"/>
      <c r="F676" s="71"/>
      <c r="G676" s="71"/>
      <c r="H676" s="71"/>
      <c r="I676" s="71"/>
      <c r="J676" s="71"/>
    </row>
    <row r="677" spans="1:10">
      <c r="A677" s="71"/>
      <c r="B677" s="72"/>
      <c r="C677" s="71"/>
      <c r="D677" s="71"/>
      <c r="E677" s="71"/>
      <c r="F677" s="71"/>
      <c r="G677" s="71"/>
      <c r="H677" s="71"/>
      <c r="I677" s="71"/>
      <c r="J677" s="71"/>
    </row>
    <row r="678" spans="1:10">
      <c r="A678" s="71"/>
      <c r="B678" s="72"/>
      <c r="C678" s="71"/>
      <c r="D678" s="71"/>
      <c r="E678" s="71"/>
      <c r="F678" s="71"/>
      <c r="G678" s="71"/>
      <c r="H678" s="71"/>
      <c r="I678" s="71"/>
      <c r="J678" s="71"/>
    </row>
    <row r="679" spans="1:10">
      <c r="A679" s="71"/>
      <c r="B679" s="72"/>
      <c r="C679" s="71"/>
      <c r="D679" s="71"/>
      <c r="E679" s="71"/>
      <c r="F679" s="71"/>
      <c r="G679" s="71"/>
      <c r="H679" s="71"/>
      <c r="I679" s="71"/>
      <c r="J679" s="71"/>
    </row>
    <row r="680" spans="1:10">
      <c r="A680" s="71"/>
      <c r="B680" s="72"/>
      <c r="C680" s="71"/>
      <c r="D680" s="71"/>
      <c r="E680" s="71"/>
      <c r="F680" s="71"/>
      <c r="G680" s="71"/>
      <c r="H680" s="71"/>
      <c r="I680" s="71"/>
      <c r="J680" s="71"/>
    </row>
    <row r="681" spans="1:10">
      <c r="A681" s="71"/>
      <c r="B681" s="72"/>
      <c r="C681" s="71"/>
      <c r="D681" s="71"/>
      <c r="E681" s="71"/>
      <c r="F681" s="71"/>
      <c r="G681" s="71"/>
      <c r="H681" s="71"/>
      <c r="I681" s="71"/>
      <c r="J681" s="71"/>
    </row>
    <row r="682" spans="1:10">
      <c r="A682" s="71"/>
      <c r="B682" s="72"/>
      <c r="C682" s="71"/>
      <c r="D682" s="71"/>
      <c r="E682" s="71"/>
      <c r="F682" s="71"/>
      <c r="G682" s="71"/>
      <c r="H682" s="71"/>
      <c r="I682" s="71"/>
      <c r="J682" s="71"/>
    </row>
    <row r="683" spans="1:10">
      <c r="A683" s="71"/>
      <c r="B683" s="72"/>
      <c r="C683" s="71"/>
      <c r="D683" s="71"/>
      <c r="E683" s="71"/>
      <c r="F683" s="71"/>
      <c r="G683" s="71"/>
      <c r="H683" s="71"/>
      <c r="I683" s="71"/>
      <c r="J683" s="71"/>
    </row>
    <row r="684" spans="1:10">
      <c r="A684" s="71"/>
      <c r="B684" s="72"/>
      <c r="C684" s="71"/>
      <c r="D684" s="71"/>
      <c r="E684" s="71"/>
      <c r="F684" s="71"/>
      <c r="G684" s="71"/>
      <c r="H684" s="71"/>
      <c r="I684" s="71"/>
      <c r="J684" s="71"/>
    </row>
    <row r="685" spans="1:10">
      <c r="A685" s="71"/>
      <c r="B685" s="72"/>
      <c r="C685" s="71"/>
      <c r="D685" s="71"/>
      <c r="E685" s="71"/>
      <c r="F685" s="71"/>
      <c r="G685" s="71"/>
      <c r="H685" s="71"/>
      <c r="I685" s="71"/>
      <c r="J685" s="71"/>
    </row>
    <row r="686" spans="1:10">
      <c r="A686" s="71"/>
      <c r="B686" s="72"/>
      <c r="C686" s="71"/>
      <c r="D686" s="71"/>
      <c r="E686" s="71"/>
      <c r="F686" s="71"/>
      <c r="G686" s="71"/>
      <c r="H686" s="71"/>
      <c r="I686" s="71"/>
      <c r="J686" s="71"/>
    </row>
    <row r="687" spans="1:10">
      <c r="A687" s="71"/>
      <c r="B687" s="72"/>
      <c r="C687" s="71"/>
      <c r="D687" s="71"/>
      <c r="E687" s="71"/>
      <c r="F687" s="71"/>
      <c r="G687" s="71"/>
      <c r="H687" s="71"/>
      <c r="I687" s="71"/>
      <c r="J687" s="71"/>
    </row>
    <row r="688" spans="1:10">
      <c r="A688" s="71"/>
      <c r="B688" s="72"/>
      <c r="C688" s="71"/>
      <c r="D688" s="71"/>
      <c r="E688" s="71"/>
      <c r="F688" s="71"/>
      <c r="G688" s="71"/>
      <c r="H688" s="71"/>
      <c r="I688" s="71"/>
      <c r="J688" s="71"/>
    </row>
    <row r="689" spans="1:10">
      <c r="A689" s="71"/>
      <c r="B689" s="72"/>
      <c r="C689" s="71"/>
      <c r="D689" s="71"/>
      <c r="E689" s="71"/>
      <c r="F689" s="71"/>
      <c r="G689" s="71"/>
      <c r="H689" s="71"/>
      <c r="I689" s="71"/>
      <c r="J689" s="71"/>
    </row>
    <row r="690" spans="1:10">
      <c r="A690" s="71"/>
      <c r="B690" s="72"/>
      <c r="C690" s="71"/>
      <c r="D690" s="71"/>
      <c r="E690" s="71"/>
      <c r="F690" s="71"/>
      <c r="G690" s="71"/>
      <c r="H690" s="71"/>
      <c r="I690" s="71"/>
      <c r="J690" s="71"/>
    </row>
    <row r="691" spans="1:10">
      <c r="A691" s="71"/>
      <c r="B691" s="72"/>
      <c r="C691" s="71"/>
      <c r="D691" s="71"/>
      <c r="E691" s="71"/>
      <c r="F691" s="71"/>
      <c r="G691" s="71"/>
      <c r="H691" s="71"/>
      <c r="I691" s="71"/>
      <c r="J691" s="71"/>
    </row>
    <row r="692" spans="1:10">
      <c r="A692" s="71"/>
      <c r="B692" s="72"/>
      <c r="C692" s="71"/>
      <c r="D692" s="71"/>
      <c r="E692" s="71"/>
      <c r="F692" s="71"/>
      <c r="G692" s="71"/>
      <c r="H692" s="71"/>
      <c r="I692" s="71"/>
      <c r="J692" s="71"/>
    </row>
    <row r="693" spans="1:10">
      <c r="A693" s="71"/>
      <c r="B693" s="72"/>
      <c r="C693" s="71"/>
      <c r="D693" s="71"/>
      <c r="E693" s="71"/>
      <c r="F693" s="71"/>
      <c r="G693" s="71"/>
      <c r="H693" s="71"/>
      <c r="I693" s="71"/>
      <c r="J693" s="71"/>
    </row>
    <row r="694" spans="1:10">
      <c r="A694" s="71"/>
      <c r="B694" s="72"/>
      <c r="C694" s="71"/>
      <c r="D694" s="71"/>
      <c r="E694" s="71"/>
      <c r="F694" s="71"/>
      <c r="G694" s="71"/>
      <c r="H694" s="71"/>
      <c r="I694" s="71"/>
      <c r="J694" s="71"/>
    </row>
    <row r="695" spans="1:10">
      <c r="A695" s="71"/>
      <c r="B695" s="72"/>
      <c r="C695" s="71"/>
      <c r="D695" s="71"/>
      <c r="E695" s="71"/>
      <c r="F695" s="71"/>
      <c r="G695" s="71"/>
      <c r="H695" s="71"/>
      <c r="I695" s="71"/>
      <c r="J695" s="71"/>
    </row>
    <row r="696" spans="1:10">
      <c r="A696" s="71"/>
      <c r="B696" s="72"/>
      <c r="C696" s="71"/>
      <c r="D696" s="71"/>
      <c r="E696" s="71"/>
      <c r="F696" s="71"/>
      <c r="G696" s="71"/>
      <c r="H696" s="71"/>
      <c r="I696" s="71"/>
      <c r="J696" s="71"/>
    </row>
    <row r="697" spans="1:10">
      <c r="A697" s="71"/>
      <c r="B697" s="72"/>
      <c r="C697" s="71"/>
      <c r="D697" s="71"/>
      <c r="E697" s="71"/>
      <c r="F697" s="71"/>
      <c r="G697" s="71"/>
      <c r="H697" s="71"/>
      <c r="I697" s="71"/>
      <c r="J697" s="71"/>
    </row>
    <row r="698" spans="1:10">
      <c r="A698" s="71"/>
      <c r="B698" s="72"/>
      <c r="C698" s="71"/>
      <c r="D698" s="71"/>
      <c r="E698" s="71"/>
      <c r="F698" s="71"/>
      <c r="G698" s="71"/>
      <c r="H698" s="71"/>
      <c r="I698" s="71"/>
      <c r="J698" s="71"/>
    </row>
    <row r="699" spans="1:10">
      <c r="A699" s="71"/>
      <c r="B699" s="72"/>
      <c r="C699" s="71"/>
      <c r="D699" s="71"/>
      <c r="E699" s="71"/>
      <c r="F699" s="71"/>
      <c r="G699" s="71"/>
      <c r="H699" s="71"/>
      <c r="I699" s="71"/>
      <c r="J699" s="71"/>
    </row>
    <row r="700" spans="1:10">
      <c r="A700" s="71"/>
      <c r="B700" s="72"/>
      <c r="C700" s="71"/>
      <c r="D700" s="71"/>
      <c r="E700" s="71"/>
      <c r="F700" s="71"/>
      <c r="G700" s="71"/>
      <c r="H700" s="71"/>
      <c r="I700" s="71"/>
      <c r="J700" s="71"/>
    </row>
    <row r="701" spans="1:10">
      <c r="A701" s="71"/>
      <c r="B701" s="72"/>
      <c r="C701" s="71"/>
      <c r="D701" s="71"/>
      <c r="E701" s="71"/>
      <c r="F701" s="71"/>
      <c r="G701" s="71"/>
      <c r="H701" s="71"/>
      <c r="I701" s="71"/>
      <c r="J701" s="71"/>
    </row>
    <row r="702" spans="1:10">
      <c r="A702" s="71"/>
      <c r="B702" s="72"/>
      <c r="C702" s="71"/>
      <c r="D702" s="71"/>
      <c r="E702" s="71"/>
      <c r="F702" s="71"/>
      <c r="G702" s="71"/>
      <c r="H702" s="71"/>
      <c r="I702" s="71"/>
      <c r="J702" s="71"/>
    </row>
    <row r="703" spans="1:10">
      <c r="A703" s="71"/>
      <c r="B703" s="72"/>
      <c r="C703" s="71"/>
      <c r="D703" s="71"/>
      <c r="E703" s="71"/>
      <c r="F703" s="71"/>
      <c r="G703" s="71"/>
      <c r="H703" s="71"/>
      <c r="I703" s="71"/>
      <c r="J703" s="71"/>
    </row>
    <row r="704" spans="1:10">
      <c r="A704" s="71"/>
      <c r="B704" s="72"/>
      <c r="C704" s="71"/>
      <c r="D704" s="71"/>
      <c r="E704" s="71"/>
      <c r="F704" s="71"/>
      <c r="G704" s="71"/>
      <c r="H704" s="71"/>
      <c r="I704" s="71"/>
      <c r="J704" s="71"/>
    </row>
    <row r="705" spans="1:10">
      <c r="A705" s="71"/>
      <c r="B705" s="72"/>
      <c r="C705" s="71"/>
      <c r="D705" s="71"/>
      <c r="E705" s="71"/>
      <c r="F705" s="71"/>
      <c r="G705" s="71"/>
      <c r="H705" s="71"/>
      <c r="I705" s="71"/>
      <c r="J705" s="71"/>
    </row>
    <row r="706" spans="1:10">
      <c r="A706" s="71"/>
      <c r="B706" s="72"/>
      <c r="C706" s="71"/>
      <c r="D706" s="71"/>
      <c r="E706" s="71"/>
      <c r="F706" s="71"/>
      <c r="G706" s="71"/>
      <c r="H706" s="71"/>
      <c r="I706" s="71"/>
      <c r="J706" s="71"/>
    </row>
    <row r="707" spans="1:10">
      <c r="A707" s="71"/>
      <c r="B707" s="72"/>
      <c r="C707" s="71"/>
      <c r="D707" s="71"/>
      <c r="E707" s="71"/>
      <c r="F707" s="71"/>
      <c r="G707" s="71"/>
      <c r="H707" s="71"/>
      <c r="I707" s="71"/>
      <c r="J707" s="71"/>
    </row>
    <row r="708" spans="1:10">
      <c r="A708" s="71"/>
      <c r="B708" s="72"/>
      <c r="C708" s="71"/>
      <c r="D708" s="71"/>
      <c r="E708" s="71"/>
      <c r="F708" s="71"/>
      <c r="G708" s="71"/>
      <c r="H708" s="71"/>
      <c r="I708" s="71"/>
      <c r="J708" s="71"/>
    </row>
    <row r="709" spans="1:10">
      <c r="A709" s="71"/>
      <c r="B709" s="72"/>
      <c r="C709" s="71"/>
      <c r="D709" s="71"/>
      <c r="E709" s="71"/>
      <c r="F709" s="71"/>
      <c r="G709" s="71"/>
      <c r="H709" s="71"/>
      <c r="I709" s="71"/>
      <c r="J709" s="71"/>
    </row>
    <row r="710" spans="1:10">
      <c r="A710" s="71"/>
      <c r="B710" s="72"/>
      <c r="C710" s="71"/>
      <c r="D710" s="71"/>
      <c r="E710" s="71"/>
      <c r="F710" s="71"/>
      <c r="G710" s="71"/>
      <c r="H710" s="71"/>
      <c r="I710" s="71"/>
      <c r="J710" s="71"/>
    </row>
    <row r="711" spans="1:10">
      <c r="A711" s="71"/>
      <c r="B711" s="72"/>
      <c r="C711" s="71"/>
      <c r="D711" s="71"/>
      <c r="E711" s="71"/>
      <c r="F711" s="71"/>
      <c r="G711" s="71"/>
      <c r="H711" s="71"/>
      <c r="I711" s="71"/>
      <c r="J711" s="71"/>
    </row>
    <row r="712" spans="1:10">
      <c r="A712" s="71"/>
      <c r="B712" s="72"/>
      <c r="C712" s="71"/>
      <c r="D712" s="71"/>
      <c r="E712" s="71"/>
      <c r="F712" s="71"/>
      <c r="G712" s="71"/>
      <c r="H712" s="71"/>
      <c r="I712" s="71"/>
      <c r="J712" s="71"/>
    </row>
    <row r="713" spans="1:10">
      <c r="A713" s="71"/>
      <c r="B713" s="72"/>
      <c r="C713" s="71"/>
      <c r="D713" s="71"/>
      <c r="E713" s="71"/>
      <c r="F713" s="71"/>
      <c r="G713" s="71"/>
      <c r="H713" s="71"/>
      <c r="I713" s="71"/>
      <c r="J713" s="71"/>
    </row>
    <row r="714" spans="1:10">
      <c r="A714" s="71"/>
      <c r="B714" s="72"/>
      <c r="C714" s="71"/>
      <c r="D714" s="71"/>
      <c r="E714" s="71"/>
      <c r="F714" s="71"/>
      <c r="G714" s="71"/>
      <c r="H714" s="71"/>
      <c r="I714" s="71"/>
      <c r="J714" s="71"/>
    </row>
    <row r="715" spans="1:10">
      <c r="A715" s="71"/>
      <c r="B715" s="72"/>
      <c r="C715" s="71"/>
      <c r="D715" s="71"/>
      <c r="E715" s="71"/>
      <c r="F715" s="71"/>
      <c r="G715" s="71"/>
      <c r="H715" s="71"/>
      <c r="I715" s="71"/>
      <c r="J715" s="71"/>
    </row>
    <row r="716" spans="1:10">
      <c r="A716" s="71"/>
      <c r="B716" s="72"/>
      <c r="C716" s="71"/>
      <c r="D716" s="71"/>
      <c r="E716" s="71"/>
      <c r="F716" s="71"/>
      <c r="G716" s="71"/>
      <c r="H716" s="71"/>
      <c r="I716" s="71"/>
      <c r="J716" s="71"/>
    </row>
    <row r="717" spans="1:10">
      <c r="A717" s="71"/>
      <c r="B717" s="72"/>
      <c r="C717" s="71"/>
      <c r="D717" s="71"/>
      <c r="E717" s="71"/>
      <c r="F717" s="71"/>
      <c r="G717" s="71"/>
      <c r="H717" s="71"/>
      <c r="I717" s="71"/>
      <c r="J717" s="71"/>
    </row>
    <row r="718" spans="1:10">
      <c r="A718" s="71"/>
      <c r="B718" s="72"/>
      <c r="C718" s="71"/>
      <c r="D718" s="71"/>
      <c r="E718" s="71"/>
      <c r="F718" s="71"/>
      <c r="G718" s="71"/>
      <c r="H718" s="71"/>
      <c r="I718" s="71"/>
      <c r="J718" s="71"/>
    </row>
    <row r="719" spans="1:10">
      <c r="A719" s="71"/>
      <c r="B719" s="72"/>
      <c r="C719" s="71"/>
      <c r="D719" s="71"/>
      <c r="E719" s="71"/>
      <c r="F719" s="71"/>
      <c r="G719" s="71"/>
      <c r="H719" s="71"/>
      <c r="I719" s="71"/>
      <c r="J719" s="71"/>
    </row>
    <row r="720" spans="1:10">
      <c r="A720" s="71"/>
      <c r="B720" s="72"/>
      <c r="C720" s="71"/>
      <c r="D720" s="71"/>
      <c r="E720" s="71"/>
      <c r="F720" s="71"/>
      <c r="G720" s="71"/>
      <c r="H720" s="71"/>
      <c r="I720" s="71"/>
      <c r="J720" s="71"/>
    </row>
    <row r="721" spans="1:10">
      <c r="A721" s="71"/>
      <c r="B721" s="72"/>
      <c r="C721" s="71"/>
      <c r="D721" s="71"/>
      <c r="E721" s="71"/>
      <c r="F721" s="71"/>
      <c r="G721" s="71"/>
      <c r="H721" s="71"/>
      <c r="I721" s="71"/>
      <c r="J721" s="71"/>
    </row>
    <row r="722" spans="1:10">
      <c r="A722" s="71"/>
      <c r="B722" s="72"/>
      <c r="C722" s="71"/>
      <c r="D722" s="71"/>
      <c r="E722" s="71"/>
      <c r="F722" s="71"/>
      <c r="G722" s="71"/>
      <c r="H722" s="71"/>
      <c r="I722" s="71"/>
      <c r="J722" s="71"/>
    </row>
    <row r="723" spans="1:10">
      <c r="A723" s="71"/>
      <c r="B723" s="72"/>
      <c r="C723" s="71"/>
      <c r="D723" s="71"/>
      <c r="E723" s="71"/>
      <c r="F723" s="71"/>
      <c r="G723" s="71"/>
      <c r="H723" s="71"/>
      <c r="I723" s="71"/>
      <c r="J723" s="71"/>
    </row>
    <row r="724" spans="1:10">
      <c r="A724" s="71"/>
      <c r="B724" s="72"/>
      <c r="C724" s="71"/>
      <c r="D724" s="71"/>
      <c r="E724" s="71"/>
      <c r="F724" s="71"/>
      <c r="G724" s="71"/>
      <c r="H724" s="71"/>
      <c r="I724" s="71"/>
      <c r="J724" s="71"/>
    </row>
    <row r="725" spans="1:10">
      <c r="A725" s="71"/>
      <c r="B725" s="72"/>
      <c r="C725" s="71"/>
      <c r="D725" s="71"/>
      <c r="E725" s="71"/>
      <c r="F725" s="71"/>
      <c r="G725" s="71"/>
      <c r="H725" s="71"/>
      <c r="I725" s="71"/>
      <c r="J725" s="71"/>
    </row>
    <row r="726" spans="1:10">
      <c r="A726" s="71"/>
      <c r="B726" s="72"/>
      <c r="C726" s="71"/>
      <c r="D726" s="71"/>
      <c r="E726" s="71"/>
      <c r="F726" s="71"/>
      <c r="G726" s="71"/>
      <c r="H726" s="71"/>
      <c r="I726" s="71"/>
      <c r="J726" s="71"/>
    </row>
    <row r="727" spans="1:10">
      <c r="A727" s="71"/>
      <c r="B727" s="72"/>
      <c r="C727" s="71"/>
      <c r="D727" s="71"/>
      <c r="E727" s="71"/>
      <c r="F727" s="71"/>
      <c r="G727" s="71"/>
      <c r="H727" s="71"/>
      <c r="I727" s="71"/>
      <c r="J727" s="71"/>
    </row>
    <row r="728" spans="1:10">
      <c r="A728" s="71"/>
      <c r="B728" s="72"/>
      <c r="C728" s="71"/>
      <c r="D728" s="71"/>
      <c r="E728" s="71"/>
      <c r="F728" s="71"/>
      <c r="G728" s="71"/>
      <c r="H728" s="71"/>
      <c r="I728" s="71"/>
      <c r="J728" s="71"/>
    </row>
    <row r="729" spans="1:10">
      <c r="A729" s="71"/>
      <c r="B729" s="72"/>
      <c r="C729" s="71"/>
      <c r="D729" s="71"/>
      <c r="E729" s="71"/>
      <c r="F729" s="71"/>
      <c r="G729" s="71"/>
      <c r="H729" s="71"/>
      <c r="I729" s="71"/>
      <c r="J729" s="71"/>
    </row>
    <row r="730" spans="1:10">
      <c r="A730" s="71"/>
      <c r="B730" s="72"/>
      <c r="C730" s="71"/>
      <c r="D730" s="71"/>
      <c r="E730" s="71"/>
      <c r="F730" s="71"/>
      <c r="G730" s="71"/>
      <c r="H730" s="71"/>
      <c r="I730" s="71"/>
      <c r="J730" s="71"/>
    </row>
    <row r="731" spans="1:10">
      <c r="A731" s="71"/>
      <c r="B731" s="72"/>
      <c r="C731" s="71"/>
      <c r="D731" s="71"/>
      <c r="E731" s="71"/>
      <c r="F731" s="71"/>
      <c r="G731" s="71"/>
      <c r="H731" s="71"/>
      <c r="I731" s="71"/>
      <c r="J731" s="71"/>
    </row>
    <row r="732" spans="1:10">
      <c r="A732" s="71"/>
      <c r="B732" s="72"/>
      <c r="C732" s="71"/>
      <c r="D732" s="71"/>
      <c r="E732" s="71"/>
      <c r="F732" s="71"/>
      <c r="G732" s="71"/>
      <c r="H732" s="71"/>
      <c r="I732" s="71"/>
      <c r="J732" s="71"/>
    </row>
    <row r="733" spans="1:10">
      <c r="A733" s="71"/>
      <c r="B733" s="72"/>
      <c r="C733" s="71"/>
      <c r="D733" s="71"/>
      <c r="E733" s="71"/>
      <c r="F733" s="71"/>
      <c r="G733" s="71"/>
      <c r="H733" s="71"/>
      <c r="I733" s="71"/>
      <c r="J733" s="71"/>
    </row>
    <row r="734" spans="1:10">
      <c r="A734" s="71"/>
      <c r="B734" s="72"/>
      <c r="C734" s="71"/>
      <c r="D734" s="71"/>
      <c r="E734" s="71"/>
      <c r="F734" s="71"/>
      <c r="G734" s="71"/>
      <c r="H734" s="71"/>
      <c r="I734" s="71"/>
      <c r="J734" s="71"/>
    </row>
    <row r="735" spans="1:10">
      <c r="A735" s="71"/>
      <c r="B735" s="72"/>
      <c r="C735" s="71"/>
      <c r="D735" s="71"/>
      <c r="E735" s="71"/>
      <c r="F735" s="71"/>
      <c r="G735" s="71"/>
      <c r="H735" s="71"/>
      <c r="I735" s="71"/>
      <c r="J735" s="71"/>
    </row>
    <row r="736" spans="1:10">
      <c r="A736" s="71"/>
      <c r="B736" s="72"/>
      <c r="C736" s="71"/>
      <c r="D736" s="71"/>
      <c r="E736" s="71"/>
      <c r="F736" s="71"/>
      <c r="G736" s="71"/>
      <c r="H736" s="71"/>
      <c r="I736" s="71"/>
      <c r="J736" s="71"/>
    </row>
    <row r="737" spans="1:10">
      <c r="A737" s="71"/>
      <c r="B737" s="72"/>
      <c r="C737" s="71"/>
      <c r="D737" s="71"/>
      <c r="E737" s="71"/>
      <c r="F737" s="71"/>
      <c r="G737" s="71"/>
      <c r="H737" s="71"/>
      <c r="I737" s="71"/>
      <c r="J737" s="71"/>
    </row>
    <row r="738" spans="1:10">
      <c r="A738" s="71"/>
      <c r="B738" s="72"/>
      <c r="C738" s="71"/>
      <c r="D738" s="71"/>
      <c r="E738" s="71"/>
      <c r="F738" s="71"/>
      <c r="G738" s="71"/>
      <c r="H738" s="71"/>
      <c r="I738" s="71"/>
      <c r="J738" s="71"/>
    </row>
    <row r="739" spans="1:10">
      <c r="A739" s="71"/>
      <c r="B739" s="72"/>
      <c r="C739" s="71"/>
      <c r="D739" s="71"/>
      <c r="E739" s="71"/>
      <c r="F739" s="71"/>
      <c r="G739" s="71"/>
      <c r="H739" s="71"/>
      <c r="I739" s="71"/>
      <c r="J739" s="71"/>
    </row>
    <row r="740" spans="1:10">
      <c r="A740" s="71"/>
      <c r="B740" s="72"/>
      <c r="C740" s="71"/>
      <c r="D740" s="71"/>
      <c r="E740" s="71"/>
      <c r="F740" s="71"/>
      <c r="G740" s="71"/>
      <c r="H740" s="71"/>
      <c r="I740" s="71"/>
      <c r="J740" s="71"/>
    </row>
    <row r="741" spans="1:10">
      <c r="A741" s="71"/>
      <c r="B741" s="72"/>
      <c r="C741" s="71"/>
      <c r="D741" s="71"/>
      <c r="E741" s="71"/>
      <c r="F741" s="71"/>
      <c r="G741" s="71"/>
      <c r="H741" s="71"/>
      <c r="I741" s="71"/>
      <c r="J741" s="71"/>
    </row>
    <row r="742" spans="1:10">
      <c r="A742" s="71"/>
      <c r="B742" s="72"/>
      <c r="C742" s="71"/>
      <c r="D742" s="71"/>
      <c r="E742" s="71"/>
      <c r="F742" s="71"/>
      <c r="G742" s="71"/>
      <c r="H742" s="71"/>
      <c r="I742" s="71"/>
      <c r="J742" s="71"/>
    </row>
    <row r="743" spans="1:10">
      <c r="A743" s="71"/>
      <c r="B743" s="72"/>
      <c r="C743" s="71"/>
      <c r="D743" s="71"/>
      <c r="E743" s="71"/>
      <c r="F743" s="71"/>
      <c r="G743" s="71"/>
      <c r="H743" s="71"/>
      <c r="I743" s="71"/>
      <c r="J743" s="71"/>
    </row>
    <row r="744" spans="1:10">
      <c r="A744" s="71"/>
      <c r="B744" s="72"/>
      <c r="C744" s="71"/>
      <c r="D744" s="71"/>
      <c r="E744" s="71"/>
      <c r="F744" s="71"/>
      <c r="G744" s="71"/>
      <c r="H744" s="71"/>
      <c r="I744" s="71"/>
      <c r="J744" s="71"/>
    </row>
    <row r="745" spans="1:10">
      <c r="A745" s="71"/>
      <c r="B745" s="72"/>
      <c r="C745" s="71"/>
      <c r="D745" s="71"/>
      <c r="E745" s="71"/>
      <c r="F745" s="71"/>
      <c r="G745" s="71"/>
      <c r="H745" s="71"/>
      <c r="I745" s="71"/>
      <c r="J745" s="71"/>
    </row>
    <row r="746" spans="1:10">
      <c r="A746" s="71"/>
      <c r="B746" s="72"/>
      <c r="C746" s="71"/>
      <c r="D746" s="71"/>
      <c r="E746" s="71"/>
      <c r="F746" s="71"/>
      <c r="G746" s="71"/>
      <c r="H746" s="71"/>
      <c r="I746" s="71"/>
      <c r="J746" s="71"/>
    </row>
    <row r="747" spans="1:10">
      <c r="A747" s="71"/>
      <c r="B747" s="72"/>
      <c r="C747" s="71"/>
      <c r="D747" s="71"/>
      <c r="E747" s="71"/>
      <c r="F747" s="71"/>
      <c r="G747" s="71"/>
      <c r="H747" s="71"/>
      <c r="I747" s="71"/>
      <c r="J747" s="71"/>
    </row>
    <row r="748" spans="1:10">
      <c r="A748" s="71"/>
      <c r="B748" s="72"/>
      <c r="C748" s="71"/>
      <c r="D748" s="71"/>
      <c r="E748" s="71"/>
      <c r="F748" s="71"/>
      <c r="G748" s="71"/>
      <c r="H748" s="71"/>
      <c r="I748" s="71"/>
      <c r="J748" s="71"/>
    </row>
    <row r="749" spans="1:10">
      <c r="A749" s="71"/>
      <c r="B749" s="72"/>
      <c r="C749" s="71"/>
      <c r="D749" s="71"/>
      <c r="E749" s="71"/>
      <c r="F749" s="71"/>
      <c r="G749" s="71"/>
      <c r="H749" s="71"/>
      <c r="I749" s="71"/>
      <c r="J749" s="71"/>
    </row>
    <row r="750" spans="1:10">
      <c r="A750" s="71"/>
      <c r="B750" s="72"/>
      <c r="C750" s="71"/>
      <c r="D750" s="71"/>
      <c r="E750" s="71"/>
      <c r="F750" s="71"/>
      <c r="G750" s="71"/>
      <c r="H750" s="71"/>
      <c r="I750" s="71"/>
      <c r="J750" s="71"/>
    </row>
    <row r="751" spans="1:10">
      <c r="A751" s="71"/>
      <c r="B751" s="72"/>
      <c r="C751" s="71"/>
      <c r="D751" s="71"/>
      <c r="E751" s="71"/>
      <c r="F751" s="71"/>
      <c r="G751" s="71"/>
      <c r="H751" s="71"/>
      <c r="I751" s="71"/>
      <c r="J751" s="71"/>
    </row>
    <row r="752" spans="1:10">
      <c r="A752" s="71"/>
      <c r="B752" s="72"/>
      <c r="C752" s="71"/>
      <c r="D752" s="71"/>
      <c r="E752" s="71"/>
      <c r="F752" s="71"/>
      <c r="G752" s="71"/>
      <c r="H752" s="71"/>
      <c r="I752" s="71"/>
      <c r="J752" s="71"/>
    </row>
    <row r="753" spans="1:10">
      <c r="A753" s="71"/>
      <c r="B753" s="72"/>
      <c r="C753" s="71"/>
      <c r="D753" s="71"/>
      <c r="E753" s="71"/>
      <c r="F753" s="71"/>
      <c r="G753" s="71"/>
      <c r="H753" s="71"/>
      <c r="I753" s="71"/>
      <c r="J753" s="71"/>
    </row>
    <row r="754" spans="1:10">
      <c r="A754" s="71"/>
      <c r="B754" s="72"/>
      <c r="C754" s="71"/>
      <c r="D754" s="71"/>
      <c r="E754" s="71"/>
      <c r="F754" s="71"/>
      <c r="G754" s="71"/>
      <c r="H754" s="71"/>
      <c r="I754" s="71"/>
      <c r="J754" s="71"/>
    </row>
    <row r="755" spans="1:10">
      <c r="A755" s="71"/>
      <c r="B755" s="72"/>
      <c r="C755" s="71"/>
      <c r="D755" s="71"/>
      <c r="E755" s="71"/>
      <c r="F755" s="71"/>
      <c r="G755" s="71"/>
      <c r="H755" s="71"/>
      <c r="I755" s="71"/>
      <c r="J755" s="71"/>
    </row>
    <row r="756" spans="1:10">
      <c r="A756" s="71"/>
      <c r="B756" s="72"/>
      <c r="C756" s="71"/>
      <c r="D756" s="71"/>
      <c r="E756" s="71"/>
      <c r="F756" s="71"/>
      <c r="G756" s="71"/>
      <c r="H756" s="71"/>
      <c r="I756" s="71"/>
      <c r="J756" s="71"/>
    </row>
    <row r="757" spans="1:10">
      <c r="A757" s="71"/>
      <c r="B757" s="72"/>
      <c r="C757" s="71"/>
      <c r="D757" s="71"/>
      <c r="E757" s="71"/>
      <c r="F757" s="71"/>
      <c r="G757" s="71"/>
      <c r="H757" s="71"/>
      <c r="I757" s="71"/>
      <c r="J757" s="71"/>
    </row>
    <row r="758" spans="1:10">
      <c r="A758" s="71"/>
      <c r="B758" s="72"/>
      <c r="C758" s="71"/>
      <c r="D758" s="71"/>
      <c r="E758" s="71"/>
      <c r="F758" s="71"/>
      <c r="G758" s="71"/>
      <c r="H758" s="71"/>
      <c r="I758" s="71"/>
      <c r="J758" s="71"/>
    </row>
    <row r="759" spans="1:10">
      <c r="A759" s="71"/>
      <c r="B759" s="72"/>
      <c r="C759" s="71"/>
      <c r="D759" s="71"/>
      <c r="E759" s="71"/>
      <c r="F759" s="71"/>
      <c r="G759" s="71"/>
      <c r="H759" s="71"/>
      <c r="I759" s="71"/>
      <c r="J759" s="71"/>
    </row>
    <row r="760" spans="1:10">
      <c r="A760" s="71"/>
      <c r="B760" s="72"/>
      <c r="C760" s="71"/>
      <c r="D760" s="71"/>
      <c r="E760" s="71"/>
      <c r="F760" s="71"/>
      <c r="G760" s="71"/>
      <c r="H760" s="71"/>
      <c r="I760" s="71"/>
      <c r="J760" s="71"/>
    </row>
    <row r="761" spans="1:10">
      <c r="A761" s="71"/>
      <c r="B761" s="72"/>
      <c r="C761" s="71"/>
      <c r="D761" s="71"/>
      <c r="E761" s="71"/>
      <c r="F761" s="71"/>
      <c r="G761" s="71"/>
      <c r="H761" s="71"/>
      <c r="I761" s="71"/>
      <c r="J761" s="71"/>
    </row>
    <row r="762" spans="1:10">
      <c r="A762" s="71"/>
      <c r="B762" s="72"/>
      <c r="C762" s="71"/>
      <c r="D762" s="71"/>
      <c r="E762" s="71"/>
      <c r="F762" s="71"/>
      <c r="G762" s="71"/>
      <c r="H762" s="71"/>
      <c r="I762" s="71"/>
      <c r="J762" s="71"/>
    </row>
    <row r="763" spans="1:10">
      <c r="A763" s="71"/>
      <c r="B763" s="72"/>
      <c r="C763" s="71"/>
      <c r="D763" s="71"/>
      <c r="E763" s="71"/>
      <c r="F763" s="71"/>
      <c r="G763" s="71"/>
      <c r="H763" s="71"/>
      <c r="I763" s="71"/>
      <c r="J763" s="71"/>
    </row>
    <row r="764" spans="1:10">
      <c r="A764" s="71"/>
      <c r="B764" s="72"/>
      <c r="C764" s="71"/>
      <c r="D764" s="71"/>
      <c r="E764" s="71"/>
      <c r="F764" s="71"/>
      <c r="G764" s="71"/>
      <c r="H764" s="71"/>
      <c r="I764" s="71"/>
      <c r="J764" s="71"/>
    </row>
    <row r="765" spans="1:10">
      <c r="A765" s="71"/>
      <c r="B765" s="72"/>
      <c r="C765" s="71"/>
      <c r="D765" s="71"/>
      <c r="E765" s="71"/>
      <c r="F765" s="71"/>
      <c r="G765" s="71"/>
      <c r="H765" s="71"/>
      <c r="I765" s="71"/>
      <c r="J765" s="71"/>
    </row>
    <row r="766" spans="1:10">
      <c r="A766" s="71"/>
      <c r="B766" s="72"/>
      <c r="C766" s="71"/>
      <c r="D766" s="71"/>
      <c r="E766" s="71"/>
      <c r="F766" s="71"/>
      <c r="G766" s="71"/>
      <c r="H766" s="71"/>
      <c r="I766" s="71"/>
      <c r="J766" s="71"/>
    </row>
    <row r="767" spans="1:10">
      <c r="A767" s="71"/>
      <c r="B767" s="72"/>
      <c r="C767" s="71"/>
      <c r="D767" s="71"/>
      <c r="E767" s="71"/>
      <c r="F767" s="71"/>
      <c r="G767" s="71"/>
      <c r="H767" s="71"/>
      <c r="I767" s="71"/>
      <c r="J767" s="71"/>
    </row>
    <row r="768" spans="1:10">
      <c r="A768" s="71"/>
      <c r="B768" s="72"/>
      <c r="C768" s="71"/>
      <c r="D768" s="71"/>
      <c r="E768" s="71"/>
      <c r="F768" s="71"/>
      <c r="G768" s="71"/>
      <c r="H768" s="71"/>
      <c r="I768" s="71"/>
      <c r="J768" s="71"/>
    </row>
    <row r="769" spans="1:10">
      <c r="A769" s="71"/>
      <c r="B769" s="72"/>
      <c r="C769" s="71"/>
      <c r="D769" s="71"/>
      <c r="E769" s="71"/>
      <c r="F769" s="71"/>
      <c r="G769" s="71"/>
      <c r="H769" s="71"/>
      <c r="I769" s="71"/>
      <c r="J769" s="71"/>
    </row>
    <row r="770" spans="1:10">
      <c r="A770" s="71"/>
      <c r="B770" s="72"/>
      <c r="C770" s="71"/>
      <c r="D770" s="71"/>
      <c r="E770" s="71"/>
      <c r="F770" s="71"/>
      <c r="G770" s="71"/>
      <c r="H770" s="71"/>
      <c r="I770" s="71"/>
      <c r="J770" s="71"/>
    </row>
    <row r="771" spans="1:10">
      <c r="A771" s="71"/>
      <c r="B771" s="72"/>
      <c r="C771" s="71"/>
      <c r="D771" s="71"/>
      <c r="E771" s="71"/>
      <c r="F771" s="71"/>
      <c r="G771" s="71"/>
      <c r="H771" s="71"/>
      <c r="I771" s="71"/>
      <c r="J771" s="71"/>
    </row>
    <row r="772" spans="1:10">
      <c r="A772" s="71"/>
      <c r="B772" s="72"/>
      <c r="C772" s="71"/>
      <c r="D772" s="71"/>
      <c r="E772" s="71"/>
      <c r="F772" s="71"/>
      <c r="G772" s="71"/>
      <c r="H772" s="71"/>
      <c r="I772" s="71"/>
      <c r="J772" s="71"/>
    </row>
    <row r="773" spans="1:10">
      <c r="A773" s="71"/>
      <c r="B773" s="72"/>
      <c r="C773" s="71"/>
      <c r="D773" s="71"/>
      <c r="E773" s="71"/>
      <c r="F773" s="71"/>
      <c r="G773" s="71"/>
      <c r="H773" s="71"/>
      <c r="I773" s="71"/>
      <c r="J773" s="71"/>
    </row>
    <row r="774" spans="1:10">
      <c r="A774" s="71"/>
      <c r="B774" s="72"/>
      <c r="C774" s="71"/>
      <c r="D774" s="71"/>
      <c r="E774" s="71"/>
      <c r="F774" s="71"/>
      <c r="G774" s="71"/>
      <c r="H774" s="71"/>
      <c r="I774" s="71"/>
      <c r="J774" s="71"/>
    </row>
    <row r="775" spans="1:10">
      <c r="A775" s="71"/>
      <c r="B775" s="72"/>
      <c r="C775" s="71"/>
      <c r="D775" s="71"/>
      <c r="E775" s="71"/>
      <c r="F775" s="71"/>
      <c r="G775" s="71"/>
      <c r="H775" s="71"/>
      <c r="I775" s="71"/>
      <c r="J775" s="71"/>
    </row>
    <row r="776" spans="1:10">
      <c r="A776" s="71"/>
      <c r="B776" s="72"/>
      <c r="C776" s="71"/>
      <c r="D776" s="71"/>
      <c r="E776" s="71"/>
      <c r="F776" s="71"/>
      <c r="G776" s="71"/>
      <c r="H776" s="71"/>
      <c r="I776" s="71"/>
      <c r="J776" s="71"/>
    </row>
    <row r="777" spans="1:10">
      <c r="A777" s="71"/>
      <c r="B777" s="72"/>
      <c r="C777" s="71"/>
      <c r="D777" s="71"/>
      <c r="E777" s="71"/>
      <c r="F777" s="71"/>
      <c r="G777" s="71"/>
      <c r="H777" s="71"/>
      <c r="I777" s="71"/>
      <c r="J777" s="71"/>
    </row>
    <row r="778" spans="1:10">
      <c r="A778" s="71"/>
      <c r="B778" s="72"/>
      <c r="C778" s="71"/>
      <c r="D778" s="71"/>
      <c r="E778" s="71"/>
      <c r="F778" s="71"/>
      <c r="G778" s="71"/>
      <c r="H778" s="71"/>
      <c r="I778" s="71"/>
      <c r="J778" s="71"/>
    </row>
    <row r="779" spans="1:10">
      <c r="A779" s="71"/>
      <c r="B779" s="72"/>
      <c r="C779" s="71"/>
      <c r="D779" s="71"/>
      <c r="E779" s="71"/>
      <c r="F779" s="71"/>
      <c r="G779" s="71"/>
      <c r="H779" s="71"/>
      <c r="I779" s="71"/>
      <c r="J779" s="71"/>
    </row>
    <row r="780" spans="1:10">
      <c r="A780" s="71"/>
      <c r="B780" s="72"/>
      <c r="C780" s="71"/>
      <c r="D780" s="71"/>
      <c r="E780" s="71"/>
      <c r="F780" s="71"/>
      <c r="G780" s="71"/>
      <c r="H780" s="71"/>
      <c r="I780" s="71"/>
      <c r="J780" s="71"/>
    </row>
    <row r="781" spans="1:10">
      <c r="A781" s="71"/>
      <c r="B781" s="72"/>
      <c r="C781" s="71"/>
      <c r="D781" s="71"/>
      <c r="E781" s="71"/>
      <c r="F781" s="71"/>
      <c r="G781" s="71"/>
      <c r="H781" s="71"/>
      <c r="I781" s="71"/>
      <c r="J781" s="71"/>
    </row>
    <row r="782" spans="1:10">
      <c r="A782" s="71"/>
      <c r="B782" s="72"/>
      <c r="C782" s="71"/>
      <c r="D782" s="71"/>
      <c r="E782" s="71"/>
      <c r="F782" s="71"/>
      <c r="G782" s="71"/>
      <c r="H782" s="71"/>
      <c r="I782" s="71"/>
      <c r="J782" s="71"/>
    </row>
    <row r="783" spans="1:10">
      <c r="A783" s="71"/>
      <c r="B783" s="72"/>
      <c r="C783" s="71"/>
      <c r="D783" s="71"/>
      <c r="E783" s="71"/>
      <c r="F783" s="71"/>
      <c r="G783" s="71"/>
      <c r="H783" s="71"/>
      <c r="I783" s="71"/>
      <c r="J783" s="71"/>
    </row>
    <row r="784" spans="1:10">
      <c r="A784" s="71"/>
      <c r="B784" s="72"/>
      <c r="C784" s="71"/>
      <c r="D784" s="71"/>
      <c r="E784" s="71"/>
      <c r="F784" s="71"/>
      <c r="G784" s="71"/>
      <c r="H784" s="71"/>
      <c r="I784" s="71"/>
      <c r="J784" s="71"/>
    </row>
    <row r="785" spans="1:10">
      <c r="A785" s="71"/>
      <c r="B785" s="72"/>
      <c r="C785" s="71"/>
      <c r="D785" s="71"/>
      <c r="E785" s="71"/>
      <c r="F785" s="71"/>
      <c r="G785" s="71"/>
      <c r="H785" s="71"/>
      <c r="I785" s="71"/>
      <c r="J785" s="71"/>
    </row>
    <row r="786" spans="1:10">
      <c r="A786" s="71"/>
      <c r="B786" s="72"/>
      <c r="C786" s="71"/>
      <c r="D786" s="71"/>
      <c r="E786" s="71"/>
      <c r="F786" s="71"/>
      <c r="G786" s="71"/>
      <c r="H786" s="71"/>
      <c r="I786" s="71"/>
      <c r="J786" s="71"/>
    </row>
    <row r="787" spans="1:10">
      <c r="A787" s="71"/>
      <c r="B787" s="72"/>
      <c r="C787" s="71"/>
      <c r="D787" s="71"/>
      <c r="E787" s="71"/>
      <c r="F787" s="71"/>
      <c r="G787" s="71"/>
      <c r="H787" s="71"/>
      <c r="I787" s="71"/>
      <c r="J787" s="71"/>
    </row>
    <row r="788" spans="1:10">
      <c r="A788" s="71"/>
      <c r="B788" s="72"/>
      <c r="C788" s="71"/>
      <c r="D788" s="71"/>
      <c r="E788" s="71"/>
      <c r="F788" s="71"/>
      <c r="G788" s="71"/>
      <c r="H788" s="71"/>
      <c r="I788" s="71"/>
      <c r="J788" s="71"/>
    </row>
    <row r="789" spans="1:10">
      <c r="A789" s="71"/>
      <c r="B789" s="72"/>
      <c r="C789" s="71"/>
      <c r="D789" s="71"/>
      <c r="E789" s="71"/>
      <c r="F789" s="71"/>
      <c r="G789" s="71"/>
      <c r="H789" s="71"/>
      <c r="I789" s="71"/>
      <c r="J789" s="71"/>
    </row>
    <row r="790" spans="1:10">
      <c r="A790" s="71"/>
      <c r="B790" s="72"/>
      <c r="C790" s="71"/>
      <c r="D790" s="71"/>
      <c r="E790" s="71"/>
      <c r="F790" s="71"/>
      <c r="G790" s="71"/>
      <c r="H790" s="71"/>
      <c r="I790" s="71"/>
      <c r="J790" s="71"/>
    </row>
    <row r="791" spans="1:10">
      <c r="A791" s="71"/>
      <c r="B791" s="72"/>
      <c r="C791" s="71"/>
      <c r="D791" s="71"/>
      <c r="E791" s="71"/>
      <c r="F791" s="71"/>
      <c r="G791" s="71"/>
      <c r="H791" s="71"/>
      <c r="I791" s="71"/>
      <c r="J791" s="71"/>
    </row>
    <row r="792" spans="1:10">
      <c r="A792" s="71"/>
      <c r="B792" s="72"/>
      <c r="C792" s="71"/>
      <c r="D792" s="71"/>
      <c r="E792" s="71"/>
      <c r="F792" s="71"/>
      <c r="G792" s="71"/>
      <c r="H792" s="71"/>
      <c r="I792" s="71"/>
      <c r="J792" s="71"/>
    </row>
    <row r="793" spans="1:10">
      <c r="A793" s="71"/>
      <c r="B793" s="72"/>
      <c r="C793" s="71"/>
      <c r="D793" s="71"/>
      <c r="E793" s="71"/>
      <c r="F793" s="71"/>
      <c r="G793" s="71"/>
      <c r="H793" s="71"/>
      <c r="I793" s="71"/>
      <c r="J793" s="71"/>
    </row>
    <row r="794" spans="1:10">
      <c r="A794" s="71"/>
      <c r="B794" s="72"/>
      <c r="C794" s="71"/>
      <c r="D794" s="71"/>
      <c r="E794" s="71"/>
      <c r="F794" s="71"/>
      <c r="G794" s="71"/>
      <c r="H794" s="71"/>
      <c r="I794" s="71"/>
      <c r="J794" s="71"/>
    </row>
    <row r="795" spans="1:10">
      <c r="A795" s="71"/>
      <c r="B795" s="72"/>
      <c r="C795" s="71"/>
      <c r="D795" s="71"/>
      <c r="E795" s="71"/>
      <c r="F795" s="71"/>
      <c r="G795" s="71"/>
      <c r="H795" s="71"/>
      <c r="I795" s="71"/>
      <c r="J795" s="71"/>
    </row>
    <row r="796" spans="1:10">
      <c r="A796" s="71"/>
      <c r="B796" s="72"/>
      <c r="C796" s="71"/>
      <c r="D796" s="71"/>
      <c r="E796" s="71"/>
      <c r="F796" s="71"/>
      <c r="G796" s="71"/>
      <c r="H796" s="71"/>
      <c r="I796" s="71"/>
      <c r="J796" s="71"/>
    </row>
    <row r="797" spans="1:10">
      <c r="A797" s="71"/>
      <c r="B797" s="72"/>
      <c r="C797" s="71"/>
      <c r="D797" s="71"/>
      <c r="E797" s="71"/>
      <c r="F797" s="71"/>
      <c r="G797" s="71"/>
      <c r="H797" s="71"/>
      <c r="I797" s="71"/>
      <c r="J797" s="71"/>
    </row>
    <row r="798" spans="1:10">
      <c r="A798" s="71"/>
      <c r="B798" s="72"/>
      <c r="C798" s="71"/>
      <c r="D798" s="71"/>
      <c r="E798" s="71"/>
      <c r="F798" s="71"/>
      <c r="G798" s="71"/>
      <c r="H798" s="71"/>
      <c r="I798" s="71"/>
      <c r="J798" s="71"/>
    </row>
    <row r="799" spans="1:10">
      <c r="A799" s="71"/>
      <c r="B799" s="72"/>
      <c r="C799" s="71"/>
      <c r="D799" s="71"/>
      <c r="E799" s="71"/>
      <c r="F799" s="71"/>
      <c r="G799" s="71"/>
      <c r="H799" s="71"/>
      <c r="I799" s="71"/>
      <c r="J799" s="71"/>
    </row>
    <row r="800" spans="1:10">
      <c r="A800" s="71"/>
      <c r="B800" s="72"/>
      <c r="C800" s="71"/>
      <c r="D800" s="71"/>
      <c r="E800" s="71"/>
      <c r="F800" s="71"/>
      <c r="G800" s="71"/>
      <c r="H800" s="71"/>
      <c r="I800" s="71"/>
      <c r="J800" s="71"/>
    </row>
    <row r="801" spans="1:10">
      <c r="A801" s="71"/>
      <c r="B801" s="72"/>
      <c r="C801" s="71"/>
      <c r="D801" s="71"/>
      <c r="E801" s="71"/>
      <c r="F801" s="71"/>
      <c r="G801" s="71"/>
      <c r="H801" s="71"/>
      <c r="I801" s="71"/>
      <c r="J801" s="71"/>
    </row>
    <row r="802" spans="1:10">
      <c r="A802" s="71"/>
      <c r="B802" s="72"/>
      <c r="C802" s="71"/>
      <c r="D802" s="71"/>
      <c r="E802" s="71"/>
      <c r="F802" s="71"/>
      <c r="G802" s="71"/>
      <c r="H802" s="71"/>
      <c r="I802" s="71"/>
      <c r="J802" s="71"/>
    </row>
    <row r="803" spans="1:10">
      <c r="A803" s="71"/>
      <c r="B803" s="72"/>
      <c r="C803" s="71"/>
      <c r="D803" s="71"/>
      <c r="E803" s="71"/>
      <c r="F803" s="71"/>
      <c r="G803" s="71"/>
      <c r="H803" s="71"/>
      <c r="I803" s="71"/>
      <c r="J803" s="71"/>
    </row>
    <row r="804" spans="1:10">
      <c r="A804" s="71"/>
      <c r="B804" s="72"/>
      <c r="C804" s="71"/>
      <c r="D804" s="71"/>
      <c r="E804" s="71"/>
      <c r="F804" s="71"/>
      <c r="G804" s="71"/>
      <c r="H804" s="71"/>
      <c r="I804" s="71"/>
      <c r="J804" s="71"/>
    </row>
    <row r="805" spans="1:10">
      <c r="A805" s="71"/>
      <c r="B805" s="72"/>
      <c r="C805" s="71"/>
      <c r="D805" s="71"/>
      <c r="E805" s="71"/>
      <c r="F805" s="71"/>
      <c r="G805" s="71"/>
      <c r="H805" s="71"/>
      <c r="I805" s="71"/>
      <c r="J805" s="71"/>
    </row>
    <row r="806" spans="1:10">
      <c r="A806" s="71"/>
      <c r="B806" s="72"/>
      <c r="C806" s="71"/>
      <c r="D806" s="71"/>
      <c r="E806" s="71"/>
      <c r="F806" s="71"/>
      <c r="G806" s="71"/>
      <c r="H806" s="71"/>
      <c r="I806" s="71"/>
      <c r="J806" s="71"/>
    </row>
    <row r="807" spans="1:10">
      <c r="A807" s="71"/>
      <c r="B807" s="72"/>
      <c r="C807" s="71"/>
      <c r="D807" s="71"/>
      <c r="E807" s="71"/>
      <c r="F807" s="71"/>
      <c r="G807" s="71"/>
      <c r="H807" s="71"/>
      <c r="I807" s="71"/>
      <c r="J807" s="71"/>
    </row>
    <row r="808" spans="1:10">
      <c r="A808" s="71"/>
      <c r="B808" s="72"/>
      <c r="C808" s="71"/>
      <c r="D808" s="71"/>
      <c r="E808" s="71"/>
      <c r="F808" s="71"/>
      <c r="G808" s="71"/>
      <c r="H808" s="71"/>
      <c r="I808" s="71"/>
      <c r="J808" s="71"/>
    </row>
    <row r="809" spans="1:10">
      <c r="A809" s="71"/>
      <c r="B809" s="72"/>
      <c r="C809" s="71"/>
      <c r="D809" s="71"/>
      <c r="E809" s="71"/>
      <c r="F809" s="71"/>
      <c r="G809" s="71"/>
      <c r="H809" s="71"/>
      <c r="I809" s="71"/>
      <c r="J809" s="71"/>
    </row>
    <row r="810" spans="1:10">
      <c r="A810" s="71"/>
      <c r="B810" s="72"/>
      <c r="C810" s="71"/>
      <c r="D810" s="71"/>
      <c r="E810" s="71"/>
      <c r="F810" s="71"/>
      <c r="G810" s="71"/>
      <c r="H810" s="71"/>
      <c r="I810" s="71"/>
      <c r="J810" s="71"/>
    </row>
    <row r="811" spans="1:10">
      <c r="A811" s="71"/>
      <c r="B811" s="72"/>
      <c r="C811" s="71"/>
      <c r="D811" s="71"/>
      <c r="E811" s="71"/>
      <c r="F811" s="71"/>
      <c r="G811" s="71"/>
      <c r="H811" s="71"/>
      <c r="I811" s="71"/>
      <c r="J811" s="71"/>
    </row>
    <row r="812" spans="1:10">
      <c r="A812" s="71"/>
      <c r="B812" s="72"/>
      <c r="C812" s="71"/>
      <c r="D812" s="71"/>
      <c r="E812" s="71"/>
      <c r="F812" s="71"/>
      <c r="G812" s="71"/>
      <c r="H812" s="71"/>
      <c r="I812" s="71"/>
      <c r="J812" s="71"/>
    </row>
    <row r="813" spans="1:10">
      <c r="A813" s="71"/>
      <c r="B813" s="72"/>
      <c r="C813" s="71"/>
      <c r="D813" s="71"/>
      <c r="E813" s="71"/>
      <c r="F813" s="71"/>
      <c r="G813" s="71"/>
      <c r="H813" s="71"/>
      <c r="I813" s="71"/>
      <c r="J813" s="71"/>
    </row>
    <row r="814" spans="1:10">
      <c r="A814" s="71"/>
      <c r="B814" s="72"/>
      <c r="C814" s="71"/>
      <c r="D814" s="71"/>
      <c r="E814" s="71"/>
      <c r="F814" s="71"/>
      <c r="G814" s="71"/>
      <c r="H814" s="71"/>
      <c r="I814" s="71"/>
      <c r="J814" s="71"/>
    </row>
    <row r="815" spans="1:10">
      <c r="A815" s="71"/>
      <c r="B815" s="72"/>
      <c r="C815" s="71"/>
      <c r="D815" s="71"/>
      <c r="E815" s="71"/>
      <c r="F815" s="71"/>
      <c r="G815" s="71"/>
      <c r="H815" s="71"/>
      <c r="I815" s="71"/>
      <c r="J815" s="71"/>
    </row>
    <row r="816" spans="1:10">
      <c r="A816" s="71"/>
      <c r="B816" s="72"/>
      <c r="C816" s="71"/>
      <c r="D816" s="71"/>
      <c r="E816" s="71"/>
      <c r="F816" s="71"/>
      <c r="G816" s="71"/>
      <c r="H816" s="71"/>
      <c r="I816" s="71"/>
      <c r="J816" s="71"/>
    </row>
    <row r="817" spans="1:10">
      <c r="A817" s="71"/>
      <c r="B817" s="72"/>
      <c r="C817" s="71"/>
      <c r="D817" s="71"/>
      <c r="E817" s="71"/>
      <c r="F817" s="71"/>
      <c r="G817" s="71"/>
      <c r="H817" s="71"/>
      <c r="I817" s="71"/>
      <c r="J817" s="71"/>
    </row>
    <row r="818" spans="1:10">
      <c r="A818" s="71"/>
      <c r="B818" s="72"/>
      <c r="C818" s="71"/>
      <c r="D818" s="71"/>
      <c r="E818" s="71"/>
      <c r="F818" s="71"/>
      <c r="G818" s="71"/>
      <c r="H818" s="71"/>
      <c r="I818" s="71"/>
      <c r="J818" s="71"/>
    </row>
    <row r="819" spans="1:10">
      <c r="A819" s="71"/>
      <c r="B819" s="72"/>
      <c r="C819" s="71"/>
      <c r="D819" s="71"/>
      <c r="E819" s="71"/>
      <c r="F819" s="71"/>
      <c r="G819" s="71"/>
      <c r="H819" s="71"/>
      <c r="I819" s="71"/>
      <c r="J819" s="71"/>
    </row>
    <row r="820" spans="1:10">
      <c r="A820" s="71"/>
      <c r="B820" s="72"/>
      <c r="C820" s="71"/>
      <c r="D820" s="71"/>
      <c r="E820" s="71"/>
      <c r="F820" s="71"/>
      <c r="G820" s="71"/>
      <c r="H820" s="71"/>
      <c r="I820" s="71"/>
      <c r="J820" s="71"/>
    </row>
    <row r="821" spans="1:10">
      <c r="A821" s="71"/>
      <c r="B821" s="72"/>
      <c r="C821" s="71"/>
      <c r="D821" s="71"/>
      <c r="E821" s="71"/>
      <c r="F821" s="71"/>
      <c r="G821" s="71"/>
      <c r="H821" s="71"/>
      <c r="I821" s="71"/>
      <c r="J821" s="71"/>
    </row>
    <row r="822" spans="1:10">
      <c r="A822" s="71"/>
      <c r="B822" s="72"/>
      <c r="C822" s="71"/>
      <c r="D822" s="71"/>
      <c r="E822" s="71"/>
      <c r="F822" s="71"/>
      <c r="G822" s="71"/>
      <c r="H822" s="71"/>
      <c r="I822" s="71"/>
      <c r="J822" s="71"/>
    </row>
    <row r="823" spans="1:10">
      <c r="A823" s="71"/>
      <c r="B823" s="72"/>
      <c r="C823" s="71"/>
      <c r="D823" s="71"/>
      <c r="E823" s="71"/>
      <c r="F823" s="71"/>
      <c r="G823" s="71"/>
      <c r="H823" s="71"/>
      <c r="I823" s="71"/>
      <c r="J823" s="71"/>
    </row>
    <row r="824" spans="1:10">
      <c r="A824" s="71"/>
      <c r="B824" s="72"/>
      <c r="C824" s="71"/>
      <c r="D824" s="71"/>
      <c r="E824" s="71"/>
      <c r="F824" s="71"/>
      <c r="G824" s="71"/>
      <c r="H824" s="71"/>
      <c r="I824" s="71"/>
      <c r="J824" s="71"/>
    </row>
    <row r="825" spans="1:10">
      <c r="A825" s="71"/>
      <c r="B825" s="72"/>
      <c r="C825" s="71"/>
      <c r="D825" s="71"/>
      <c r="E825" s="71"/>
      <c r="F825" s="71"/>
      <c r="G825" s="71"/>
      <c r="H825" s="71"/>
      <c r="I825" s="71"/>
      <c r="J825" s="71"/>
    </row>
    <row r="826" spans="1:10">
      <c r="A826" s="71"/>
      <c r="B826" s="72"/>
      <c r="C826" s="71"/>
      <c r="D826" s="71"/>
      <c r="E826" s="71"/>
      <c r="F826" s="71"/>
      <c r="G826" s="71"/>
      <c r="H826" s="71"/>
      <c r="I826" s="71"/>
      <c r="J826" s="71"/>
    </row>
    <row r="827" spans="1:10">
      <c r="A827" s="71"/>
      <c r="B827" s="72"/>
      <c r="C827" s="71"/>
      <c r="D827" s="71"/>
      <c r="E827" s="71"/>
      <c r="F827" s="71"/>
      <c r="G827" s="71"/>
      <c r="H827" s="71"/>
      <c r="I827" s="71"/>
      <c r="J827" s="71"/>
    </row>
    <row r="828" spans="1:10">
      <c r="A828" s="71"/>
      <c r="B828" s="72"/>
      <c r="C828" s="71"/>
      <c r="D828" s="71"/>
      <c r="E828" s="71"/>
      <c r="F828" s="71"/>
      <c r="G828" s="71"/>
      <c r="H828" s="71"/>
      <c r="I828" s="71"/>
      <c r="J828" s="71"/>
    </row>
    <row r="829" spans="1:10">
      <c r="A829" s="71"/>
      <c r="B829" s="72"/>
      <c r="C829" s="71"/>
      <c r="D829" s="71"/>
      <c r="E829" s="71"/>
      <c r="F829" s="71"/>
      <c r="G829" s="71"/>
      <c r="H829" s="71"/>
      <c r="I829" s="71"/>
      <c r="J829" s="71"/>
    </row>
    <row r="830" spans="1:10">
      <c r="A830" s="71"/>
      <c r="B830" s="72"/>
      <c r="C830" s="71"/>
      <c r="D830" s="71"/>
      <c r="E830" s="71"/>
      <c r="F830" s="71"/>
      <c r="G830" s="71"/>
      <c r="H830" s="71"/>
      <c r="I830" s="71"/>
      <c r="J830" s="71"/>
    </row>
    <row r="831" spans="1:10">
      <c r="A831" s="71"/>
      <c r="B831" s="72"/>
      <c r="C831" s="71"/>
      <c r="D831" s="71"/>
      <c r="E831" s="71"/>
      <c r="F831" s="71"/>
      <c r="G831" s="71"/>
      <c r="H831" s="71"/>
      <c r="I831" s="71"/>
      <c r="J831" s="71"/>
    </row>
    <row r="832" spans="1:10">
      <c r="A832" s="71"/>
      <c r="B832" s="72"/>
      <c r="C832" s="71"/>
      <c r="D832" s="71"/>
      <c r="E832" s="71"/>
      <c r="F832" s="71"/>
      <c r="G832" s="71"/>
      <c r="H832" s="71"/>
      <c r="I832" s="71"/>
      <c r="J832" s="71"/>
    </row>
    <row r="833" spans="1:10">
      <c r="A833" s="71"/>
      <c r="B833" s="72"/>
      <c r="C833" s="71"/>
      <c r="D833" s="71"/>
      <c r="E833" s="71"/>
      <c r="F833" s="71"/>
      <c r="G833" s="71"/>
      <c r="H833" s="71"/>
      <c r="I833" s="71"/>
      <c r="J833" s="71"/>
    </row>
    <row r="834" spans="1:10">
      <c r="A834" s="71"/>
      <c r="B834" s="72"/>
      <c r="C834" s="71"/>
      <c r="D834" s="71"/>
      <c r="E834" s="71"/>
      <c r="F834" s="71"/>
      <c r="G834" s="71"/>
      <c r="H834" s="71"/>
      <c r="I834" s="71"/>
      <c r="J834" s="71"/>
    </row>
    <row r="835" spans="1:10">
      <c r="A835" s="71"/>
      <c r="B835" s="72"/>
      <c r="C835" s="71"/>
      <c r="D835" s="71"/>
      <c r="E835" s="71"/>
      <c r="F835" s="71"/>
      <c r="G835" s="71"/>
      <c r="H835" s="71"/>
      <c r="I835" s="71"/>
      <c r="J835" s="71"/>
    </row>
    <row r="836" spans="1:10">
      <c r="A836" s="71"/>
      <c r="B836" s="72"/>
      <c r="C836" s="71"/>
      <c r="D836" s="71"/>
      <c r="E836" s="71"/>
      <c r="F836" s="71"/>
      <c r="G836" s="71"/>
      <c r="H836" s="71"/>
      <c r="I836" s="71"/>
      <c r="J836" s="71"/>
    </row>
    <row r="837" spans="1:10">
      <c r="A837" s="71"/>
      <c r="B837" s="72"/>
      <c r="C837" s="71"/>
      <c r="D837" s="71"/>
      <c r="E837" s="71"/>
      <c r="F837" s="71"/>
      <c r="G837" s="71"/>
      <c r="H837" s="71"/>
      <c r="I837" s="71"/>
      <c r="J837" s="71"/>
    </row>
    <row r="838" spans="1:10">
      <c r="A838" s="71"/>
      <c r="B838" s="72"/>
      <c r="C838" s="71"/>
      <c r="D838" s="71"/>
      <c r="E838" s="71"/>
      <c r="F838" s="71"/>
      <c r="G838" s="71"/>
      <c r="H838" s="71"/>
      <c r="I838" s="71"/>
      <c r="J838" s="71"/>
    </row>
    <row r="839" spans="1:10">
      <c r="A839" s="71"/>
      <c r="B839" s="72"/>
      <c r="C839" s="71"/>
      <c r="D839" s="71"/>
      <c r="E839" s="71"/>
      <c r="F839" s="71"/>
      <c r="G839" s="71"/>
      <c r="H839" s="71"/>
      <c r="I839" s="71"/>
      <c r="J839" s="71"/>
    </row>
    <row r="840" spans="1:10">
      <c r="A840" s="71"/>
      <c r="B840" s="72"/>
      <c r="C840" s="71"/>
      <c r="D840" s="71"/>
      <c r="E840" s="71"/>
      <c r="F840" s="71"/>
      <c r="G840" s="71"/>
      <c r="H840" s="71"/>
      <c r="I840" s="71"/>
      <c r="J840" s="71"/>
    </row>
    <row r="841" spans="1:10">
      <c r="A841" s="71"/>
      <c r="B841" s="72"/>
      <c r="C841" s="71"/>
      <c r="D841" s="71"/>
      <c r="E841" s="71"/>
      <c r="F841" s="71"/>
      <c r="G841" s="71"/>
      <c r="H841" s="71"/>
      <c r="I841" s="71"/>
      <c r="J841" s="71"/>
    </row>
    <row r="842" spans="1:10">
      <c r="A842" s="71"/>
      <c r="B842" s="72"/>
      <c r="C842" s="71"/>
      <c r="D842" s="71"/>
      <c r="E842" s="71"/>
      <c r="F842" s="71"/>
      <c r="G842" s="71"/>
      <c r="H842" s="71"/>
      <c r="I842" s="71"/>
      <c r="J842" s="71"/>
    </row>
    <row r="843" spans="1:10">
      <c r="A843" s="71"/>
      <c r="B843" s="72"/>
      <c r="C843" s="71"/>
      <c r="D843" s="71"/>
      <c r="E843" s="71"/>
      <c r="F843" s="71"/>
      <c r="G843" s="71"/>
      <c r="H843" s="71"/>
      <c r="I843" s="71"/>
      <c r="J843" s="71"/>
    </row>
    <row r="844" spans="1:10">
      <c r="A844" s="71"/>
      <c r="B844" s="72"/>
      <c r="C844" s="71"/>
      <c r="D844" s="71"/>
      <c r="E844" s="71"/>
      <c r="F844" s="71"/>
      <c r="G844" s="71"/>
      <c r="H844" s="71"/>
      <c r="I844" s="71"/>
      <c r="J844" s="71"/>
    </row>
    <row r="845" spans="1:10">
      <c r="A845" s="71"/>
      <c r="B845" s="72"/>
      <c r="C845" s="71"/>
      <c r="D845" s="71"/>
      <c r="E845" s="71"/>
      <c r="F845" s="71"/>
      <c r="G845" s="71"/>
      <c r="H845" s="71"/>
      <c r="I845" s="71"/>
      <c r="J845" s="71"/>
    </row>
    <row r="846" spans="1:10">
      <c r="A846" s="71"/>
      <c r="B846" s="72"/>
      <c r="C846" s="71"/>
      <c r="D846" s="71"/>
      <c r="E846" s="71"/>
      <c r="F846" s="71"/>
      <c r="G846" s="71"/>
      <c r="H846" s="71"/>
      <c r="I846" s="71"/>
      <c r="J846" s="71"/>
    </row>
    <row r="847" spans="1:10">
      <c r="A847" s="71"/>
      <c r="B847" s="72"/>
      <c r="C847" s="71"/>
      <c r="D847" s="71"/>
      <c r="E847" s="71"/>
      <c r="F847" s="71"/>
      <c r="G847" s="71"/>
      <c r="H847" s="71"/>
      <c r="I847" s="71"/>
      <c r="J847" s="71"/>
    </row>
    <row r="848" spans="1:10">
      <c r="A848" s="71"/>
      <c r="B848" s="72"/>
      <c r="C848" s="71"/>
      <c r="D848" s="71"/>
      <c r="E848" s="71"/>
      <c r="F848" s="71"/>
      <c r="G848" s="71"/>
      <c r="H848" s="71"/>
      <c r="I848" s="71"/>
      <c r="J848" s="71"/>
    </row>
    <row r="849" spans="1:10">
      <c r="A849" s="71"/>
      <c r="B849" s="72"/>
      <c r="C849" s="71"/>
      <c r="D849" s="71"/>
      <c r="E849" s="71"/>
      <c r="F849" s="71"/>
      <c r="G849" s="71"/>
      <c r="H849" s="71"/>
      <c r="I849" s="71"/>
      <c r="J849" s="71"/>
    </row>
    <row r="850" spans="1:10">
      <c r="A850" s="71"/>
      <c r="B850" s="72"/>
      <c r="C850" s="71"/>
      <c r="D850" s="71"/>
      <c r="E850" s="71"/>
      <c r="F850" s="71"/>
      <c r="G850" s="71"/>
      <c r="H850" s="71"/>
      <c r="I850" s="71"/>
      <c r="J850" s="71"/>
    </row>
    <row r="851" spans="1:10">
      <c r="A851" s="71"/>
      <c r="B851" s="72"/>
      <c r="C851" s="71"/>
      <c r="D851" s="71"/>
      <c r="E851" s="71"/>
      <c r="F851" s="71"/>
      <c r="G851" s="71"/>
      <c r="H851" s="71"/>
      <c r="I851" s="71"/>
      <c r="J851" s="71"/>
    </row>
    <row r="852" spans="1:10">
      <c r="A852" s="71"/>
      <c r="B852" s="72"/>
      <c r="C852" s="71"/>
      <c r="D852" s="71"/>
      <c r="E852" s="71"/>
      <c r="F852" s="71"/>
      <c r="G852" s="71"/>
      <c r="H852" s="71"/>
      <c r="I852" s="71"/>
      <c r="J852" s="71"/>
    </row>
    <row r="853" spans="1:10">
      <c r="A853" s="71"/>
      <c r="B853" s="72"/>
      <c r="C853" s="71"/>
      <c r="D853" s="71"/>
      <c r="E853" s="71"/>
      <c r="F853" s="71"/>
      <c r="G853" s="71"/>
      <c r="H853" s="71"/>
      <c r="I853" s="71"/>
      <c r="J853" s="71"/>
    </row>
    <row r="854" spans="1:10">
      <c r="A854" s="71"/>
      <c r="B854" s="72"/>
      <c r="C854" s="71"/>
      <c r="D854" s="71"/>
      <c r="E854" s="71"/>
      <c r="F854" s="71"/>
      <c r="G854" s="71"/>
      <c r="H854" s="71"/>
      <c r="I854" s="71"/>
      <c r="J854" s="71"/>
    </row>
    <row r="855" spans="1:10">
      <c r="A855" s="71"/>
      <c r="B855" s="72"/>
      <c r="C855" s="71"/>
      <c r="D855" s="71"/>
      <c r="E855" s="71"/>
      <c r="F855" s="71"/>
      <c r="G855" s="71"/>
      <c r="H855" s="71"/>
      <c r="I855" s="71"/>
      <c r="J855" s="71"/>
    </row>
    <row r="856" spans="1:10">
      <c r="A856" s="71"/>
      <c r="B856" s="72"/>
      <c r="C856" s="71"/>
      <c r="D856" s="71"/>
      <c r="E856" s="71"/>
      <c r="F856" s="71"/>
      <c r="G856" s="71"/>
      <c r="H856" s="71"/>
      <c r="I856" s="71"/>
      <c r="J856" s="71"/>
    </row>
    <row r="857" spans="1:10">
      <c r="A857" s="71"/>
      <c r="B857" s="72"/>
      <c r="C857" s="71"/>
      <c r="D857" s="71"/>
      <c r="E857" s="71"/>
      <c r="F857" s="71"/>
      <c r="G857" s="71"/>
      <c r="H857" s="71"/>
      <c r="I857" s="71"/>
      <c r="J857" s="71"/>
    </row>
    <row r="858" spans="1:10">
      <c r="A858" s="71"/>
      <c r="B858" s="72"/>
      <c r="C858" s="71"/>
      <c r="D858" s="71"/>
      <c r="E858" s="71"/>
      <c r="F858" s="71"/>
      <c r="G858" s="71"/>
      <c r="H858" s="71"/>
      <c r="I858" s="71"/>
      <c r="J858" s="71"/>
    </row>
    <row r="859" spans="1:10">
      <c r="A859" s="71"/>
      <c r="B859" s="72"/>
      <c r="C859" s="71"/>
      <c r="D859" s="71"/>
      <c r="E859" s="71"/>
      <c r="F859" s="71"/>
      <c r="G859" s="71"/>
      <c r="H859" s="71"/>
      <c r="I859" s="71"/>
      <c r="J859" s="71"/>
    </row>
    <row r="860" spans="1:10">
      <c r="A860" s="71"/>
      <c r="B860" s="72"/>
      <c r="C860" s="71"/>
      <c r="D860" s="71"/>
      <c r="E860" s="71"/>
      <c r="F860" s="71"/>
      <c r="G860" s="71"/>
      <c r="H860" s="71"/>
      <c r="I860" s="71"/>
      <c r="J860" s="71"/>
    </row>
    <row r="861" spans="1:10">
      <c r="A861" s="71"/>
      <c r="B861" s="72"/>
      <c r="C861" s="71"/>
      <c r="D861" s="71"/>
      <c r="E861" s="71"/>
      <c r="F861" s="71"/>
      <c r="G861" s="71"/>
      <c r="H861" s="71"/>
      <c r="I861" s="71"/>
      <c r="J861" s="71"/>
    </row>
    <row r="862" spans="1:10">
      <c r="A862" s="71"/>
      <c r="B862" s="72"/>
      <c r="C862" s="71"/>
      <c r="D862" s="71"/>
      <c r="E862" s="71"/>
      <c r="F862" s="71"/>
      <c r="G862" s="71"/>
      <c r="H862" s="71"/>
      <c r="I862" s="71"/>
      <c r="J862" s="71"/>
    </row>
    <row r="863" spans="1:10">
      <c r="A863" s="71"/>
      <c r="B863" s="72"/>
      <c r="C863" s="71"/>
      <c r="D863" s="71"/>
      <c r="E863" s="71"/>
      <c r="F863" s="71"/>
      <c r="G863" s="71"/>
      <c r="H863" s="71"/>
      <c r="I863" s="71"/>
      <c r="J863" s="71"/>
    </row>
    <row r="864" spans="1:10">
      <c r="A864" s="71"/>
      <c r="B864" s="72"/>
      <c r="C864" s="71"/>
      <c r="D864" s="71"/>
      <c r="E864" s="71"/>
      <c r="F864" s="71"/>
      <c r="G864" s="71"/>
      <c r="H864" s="71"/>
      <c r="I864" s="71"/>
      <c r="J864" s="71"/>
    </row>
    <row r="865" spans="1:10">
      <c r="A865" s="71"/>
      <c r="B865" s="72"/>
      <c r="C865" s="71"/>
      <c r="D865" s="71"/>
      <c r="E865" s="71"/>
      <c r="F865" s="71"/>
      <c r="G865" s="71"/>
      <c r="H865" s="71"/>
      <c r="I865" s="71"/>
      <c r="J865" s="71"/>
    </row>
    <row r="866" spans="1:10">
      <c r="A866" s="71"/>
      <c r="B866" s="72"/>
      <c r="C866" s="71"/>
      <c r="D866" s="71"/>
      <c r="E866" s="71"/>
      <c r="F866" s="71"/>
      <c r="G866" s="71"/>
      <c r="H866" s="71"/>
      <c r="I866" s="71"/>
      <c r="J866" s="71"/>
    </row>
    <row r="867" spans="1:10">
      <c r="A867" s="71"/>
      <c r="B867" s="72"/>
      <c r="C867" s="71"/>
      <c r="D867" s="71"/>
      <c r="E867" s="71"/>
      <c r="F867" s="71"/>
      <c r="G867" s="71"/>
      <c r="H867" s="71"/>
      <c r="I867" s="71"/>
      <c r="J867" s="71"/>
    </row>
    <row r="868" spans="1:10">
      <c r="A868" s="71"/>
      <c r="B868" s="72"/>
      <c r="C868" s="71"/>
      <c r="D868" s="71"/>
      <c r="E868" s="71"/>
      <c r="F868" s="71"/>
      <c r="G868" s="71"/>
      <c r="H868" s="71"/>
      <c r="I868" s="71"/>
      <c r="J868" s="71"/>
    </row>
    <row r="869" spans="1:10">
      <c r="A869" s="71"/>
      <c r="B869" s="72"/>
      <c r="C869" s="71"/>
      <c r="D869" s="71"/>
      <c r="E869" s="71"/>
      <c r="F869" s="71"/>
      <c r="G869" s="71"/>
      <c r="H869" s="71"/>
      <c r="I869" s="71"/>
      <c r="J869" s="71"/>
    </row>
    <row r="870" spans="1:10">
      <c r="A870" s="71"/>
      <c r="B870" s="72"/>
      <c r="C870" s="71"/>
      <c r="D870" s="71"/>
      <c r="E870" s="71"/>
      <c r="F870" s="71"/>
      <c r="G870" s="71"/>
      <c r="H870" s="71"/>
      <c r="I870" s="71"/>
      <c r="J870" s="71"/>
    </row>
    <row r="871" spans="1:10">
      <c r="A871" s="71"/>
      <c r="B871" s="72"/>
      <c r="C871" s="71"/>
      <c r="D871" s="71"/>
      <c r="E871" s="71"/>
      <c r="F871" s="71"/>
      <c r="G871" s="71"/>
      <c r="H871" s="71"/>
      <c r="I871" s="71"/>
      <c r="J871" s="71"/>
    </row>
    <row r="872" spans="1:10">
      <c r="A872" s="71"/>
      <c r="B872" s="72"/>
      <c r="C872" s="71"/>
      <c r="D872" s="71"/>
      <c r="E872" s="71"/>
      <c r="F872" s="71"/>
      <c r="G872" s="71"/>
      <c r="H872" s="71"/>
      <c r="I872" s="71"/>
      <c r="J872" s="71"/>
    </row>
    <row r="873" spans="1:10">
      <c r="A873" s="71"/>
      <c r="B873" s="72"/>
      <c r="C873" s="71"/>
      <c r="D873" s="71"/>
      <c r="E873" s="71"/>
      <c r="F873" s="71"/>
      <c r="G873" s="71"/>
      <c r="H873" s="71"/>
      <c r="I873" s="71"/>
      <c r="J873" s="71"/>
    </row>
    <row r="874" spans="1:10">
      <c r="A874" s="71"/>
      <c r="B874" s="72"/>
      <c r="C874" s="71"/>
      <c r="D874" s="71"/>
      <c r="E874" s="71"/>
      <c r="F874" s="71"/>
      <c r="G874" s="71"/>
      <c r="H874" s="71"/>
      <c r="I874" s="71"/>
      <c r="J874" s="71"/>
    </row>
    <row r="875" spans="1:10">
      <c r="A875" s="71"/>
      <c r="B875" s="72"/>
      <c r="C875" s="71"/>
      <c r="D875" s="71"/>
      <c r="E875" s="71"/>
      <c r="F875" s="71"/>
      <c r="G875" s="71"/>
      <c r="H875" s="71"/>
      <c r="I875" s="71"/>
      <c r="J875" s="71"/>
    </row>
    <row r="876" spans="1:10">
      <c r="A876" s="71"/>
      <c r="B876" s="72"/>
      <c r="C876" s="71"/>
      <c r="D876" s="71"/>
      <c r="E876" s="71"/>
      <c r="F876" s="71"/>
      <c r="G876" s="71"/>
      <c r="H876" s="71"/>
      <c r="I876" s="71"/>
      <c r="J876" s="71"/>
    </row>
    <row r="877" spans="1:10">
      <c r="A877" s="71"/>
      <c r="B877" s="72"/>
      <c r="C877" s="71"/>
      <c r="D877" s="71"/>
      <c r="E877" s="71"/>
      <c r="F877" s="71"/>
      <c r="G877" s="71"/>
      <c r="H877" s="71"/>
      <c r="I877" s="71"/>
      <c r="J877" s="71"/>
    </row>
    <row r="878" spans="1:10">
      <c r="A878" s="71"/>
      <c r="B878" s="72"/>
      <c r="C878" s="71"/>
      <c r="D878" s="71"/>
      <c r="E878" s="71"/>
      <c r="F878" s="71"/>
      <c r="G878" s="71"/>
      <c r="H878" s="71"/>
      <c r="I878" s="71"/>
      <c r="J878" s="71"/>
    </row>
    <row r="879" spans="1:10">
      <c r="A879" s="71"/>
      <c r="B879" s="72"/>
      <c r="C879" s="71"/>
      <c r="D879" s="71"/>
      <c r="E879" s="71"/>
      <c r="F879" s="71"/>
      <c r="G879" s="71"/>
      <c r="H879" s="71"/>
      <c r="I879" s="71"/>
      <c r="J879" s="71"/>
    </row>
    <row r="880" spans="1:10">
      <c r="A880" s="71"/>
      <c r="B880" s="72"/>
      <c r="C880" s="71"/>
      <c r="D880" s="71"/>
      <c r="E880" s="71"/>
      <c r="F880" s="71"/>
      <c r="G880" s="71"/>
      <c r="H880" s="71"/>
      <c r="I880" s="71"/>
      <c r="J880" s="71"/>
    </row>
    <row r="881" spans="1:10">
      <c r="A881" s="71"/>
      <c r="B881" s="72"/>
      <c r="C881" s="71"/>
      <c r="D881" s="71"/>
      <c r="E881" s="71"/>
      <c r="F881" s="71"/>
      <c r="G881" s="71"/>
      <c r="H881" s="71"/>
      <c r="I881" s="71"/>
      <c r="J881" s="71"/>
    </row>
    <row r="882" spans="1:10">
      <c r="A882" s="71"/>
      <c r="B882" s="72"/>
      <c r="C882" s="71"/>
      <c r="D882" s="71"/>
      <c r="E882" s="71"/>
      <c r="F882" s="71"/>
      <c r="G882" s="71"/>
      <c r="H882" s="71"/>
      <c r="I882" s="71"/>
      <c r="J882" s="71"/>
    </row>
    <row r="883" spans="1:10">
      <c r="A883" s="71"/>
      <c r="B883" s="72"/>
      <c r="C883" s="71"/>
      <c r="D883" s="71"/>
      <c r="E883" s="71"/>
      <c r="F883" s="71"/>
      <c r="G883" s="71"/>
      <c r="H883" s="71"/>
      <c r="I883" s="71"/>
      <c r="J883" s="71"/>
    </row>
    <row r="884" spans="1:10">
      <c r="A884" s="71"/>
      <c r="B884" s="72"/>
      <c r="C884" s="71"/>
      <c r="D884" s="71"/>
      <c r="E884" s="71"/>
      <c r="F884" s="71"/>
      <c r="G884" s="71"/>
      <c r="H884" s="71"/>
      <c r="I884" s="71"/>
      <c r="J884" s="71"/>
    </row>
    <row r="885" spans="1:10">
      <c r="A885" s="71"/>
      <c r="B885" s="72"/>
      <c r="C885" s="71"/>
      <c r="D885" s="71"/>
      <c r="E885" s="71"/>
      <c r="F885" s="71"/>
      <c r="G885" s="71"/>
      <c r="H885" s="71"/>
      <c r="I885" s="71"/>
      <c r="J885" s="71"/>
    </row>
    <row r="886" spans="1:10">
      <c r="A886" s="71"/>
      <c r="B886" s="72"/>
      <c r="C886" s="71"/>
      <c r="D886" s="71"/>
      <c r="E886" s="71"/>
      <c r="F886" s="71"/>
      <c r="G886" s="71"/>
      <c r="H886" s="71"/>
      <c r="I886" s="71"/>
      <c r="J886" s="71"/>
    </row>
    <row r="887" spans="1:10">
      <c r="A887" s="71"/>
      <c r="B887" s="72"/>
      <c r="C887" s="71"/>
      <c r="D887" s="71"/>
      <c r="E887" s="71"/>
      <c r="F887" s="71"/>
      <c r="G887" s="71"/>
      <c r="H887" s="71"/>
      <c r="I887" s="71"/>
      <c r="J887" s="71"/>
    </row>
    <row r="888" spans="1:10">
      <c r="A888" s="71"/>
      <c r="B888" s="72"/>
      <c r="C888" s="71"/>
      <c r="D888" s="71"/>
      <c r="E888" s="71"/>
      <c r="F888" s="71"/>
      <c r="G888" s="71"/>
      <c r="H888" s="71"/>
      <c r="I888" s="71"/>
      <c r="J888" s="71"/>
    </row>
    <row r="889" spans="1:10">
      <c r="A889" s="71"/>
      <c r="B889" s="72"/>
      <c r="C889" s="71"/>
      <c r="D889" s="71"/>
      <c r="E889" s="71"/>
      <c r="F889" s="71"/>
      <c r="G889" s="71"/>
      <c r="H889" s="71"/>
      <c r="I889" s="71"/>
      <c r="J889" s="71"/>
    </row>
    <row r="890" spans="1:10">
      <c r="A890" s="71"/>
      <c r="B890" s="72"/>
      <c r="C890" s="71"/>
      <c r="D890" s="71"/>
      <c r="E890" s="71"/>
      <c r="F890" s="71"/>
      <c r="G890" s="71"/>
      <c r="H890" s="71"/>
      <c r="I890" s="71"/>
      <c r="J890" s="71"/>
    </row>
    <row r="891" spans="1:10">
      <c r="A891" s="71"/>
      <c r="B891" s="72"/>
      <c r="C891" s="71"/>
      <c r="D891" s="71"/>
      <c r="E891" s="71"/>
      <c r="F891" s="71"/>
      <c r="G891" s="71"/>
      <c r="H891" s="71"/>
      <c r="I891" s="71"/>
      <c r="J891" s="71"/>
    </row>
    <row r="892" spans="1:10">
      <c r="A892" s="71"/>
      <c r="B892" s="72"/>
      <c r="C892" s="71"/>
      <c r="D892" s="71"/>
      <c r="E892" s="71"/>
      <c r="F892" s="71"/>
      <c r="G892" s="71"/>
      <c r="H892" s="71"/>
      <c r="I892" s="71"/>
      <c r="J892" s="71"/>
    </row>
    <row r="893" spans="1:10">
      <c r="A893" s="71"/>
      <c r="B893" s="72"/>
      <c r="C893" s="71"/>
      <c r="D893" s="71"/>
      <c r="E893" s="71"/>
      <c r="F893" s="71"/>
      <c r="G893" s="71"/>
      <c r="H893" s="71"/>
      <c r="I893" s="71"/>
      <c r="J893" s="71"/>
    </row>
    <row r="894" spans="1:10">
      <c r="A894" s="71"/>
      <c r="B894" s="72"/>
      <c r="C894" s="71"/>
      <c r="D894" s="71"/>
      <c r="E894" s="71"/>
      <c r="F894" s="71"/>
      <c r="G894" s="71"/>
      <c r="H894" s="71"/>
      <c r="I894" s="71"/>
      <c r="J894" s="71"/>
    </row>
    <row r="895" spans="1:10">
      <c r="A895" s="71"/>
      <c r="B895" s="72"/>
      <c r="C895" s="71"/>
      <c r="D895" s="71"/>
      <c r="E895" s="71"/>
      <c r="F895" s="71"/>
      <c r="G895" s="71"/>
      <c r="H895" s="71"/>
      <c r="I895" s="71"/>
      <c r="J895" s="71"/>
    </row>
    <row r="896" spans="1:10">
      <c r="A896" s="71"/>
      <c r="B896" s="72"/>
      <c r="C896" s="71"/>
      <c r="D896" s="71"/>
      <c r="E896" s="71"/>
      <c r="F896" s="71"/>
      <c r="G896" s="71"/>
      <c r="H896" s="71"/>
      <c r="I896" s="71"/>
      <c r="J896" s="71"/>
    </row>
    <row r="897" spans="1:10">
      <c r="A897" s="71"/>
      <c r="B897" s="72"/>
      <c r="C897" s="71"/>
      <c r="D897" s="71"/>
      <c r="E897" s="71"/>
      <c r="F897" s="71"/>
      <c r="G897" s="71"/>
      <c r="H897" s="71"/>
      <c r="I897" s="71"/>
      <c r="J897" s="71"/>
    </row>
    <row r="898" spans="1:10">
      <c r="A898" s="71"/>
      <c r="B898" s="72"/>
      <c r="C898" s="71"/>
      <c r="D898" s="71"/>
      <c r="E898" s="71"/>
      <c r="F898" s="71"/>
      <c r="G898" s="71"/>
      <c r="H898" s="71"/>
      <c r="I898" s="71"/>
      <c r="J898" s="71"/>
    </row>
    <row r="899" spans="1:10">
      <c r="A899" s="71"/>
      <c r="B899" s="72"/>
      <c r="C899" s="71"/>
      <c r="D899" s="71"/>
      <c r="E899" s="71"/>
      <c r="F899" s="71"/>
      <c r="G899" s="71"/>
      <c r="H899" s="71"/>
      <c r="I899" s="71"/>
      <c r="J899" s="71"/>
    </row>
    <row r="900" spans="1:10">
      <c r="A900" s="71"/>
      <c r="B900" s="72"/>
      <c r="C900" s="71"/>
      <c r="D900" s="71"/>
      <c r="E900" s="71"/>
      <c r="F900" s="71"/>
      <c r="G900" s="71"/>
      <c r="H900" s="71"/>
      <c r="I900" s="71"/>
      <c r="J900" s="71"/>
    </row>
    <row r="901" spans="1:10">
      <c r="A901" s="71"/>
      <c r="B901" s="72"/>
      <c r="C901" s="71"/>
      <c r="D901" s="71"/>
      <c r="E901" s="71"/>
      <c r="F901" s="71"/>
      <c r="G901" s="71"/>
      <c r="H901" s="71"/>
      <c r="I901" s="71"/>
      <c r="J901" s="71"/>
    </row>
    <row r="902" spans="1:10">
      <c r="A902" s="71"/>
      <c r="B902" s="72"/>
      <c r="C902" s="71"/>
      <c r="D902" s="71"/>
      <c r="E902" s="71"/>
      <c r="F902" s="71"/>
      <c r="G902" s="71"/>
      <c r="H902" s="71"/>
      <c r="I902" s="71"/>
      <c r="J902" s="71"/>
    </row>
    <row r="903" spans="1:10">
      <c r="A903" s="71"/>
      <c r="B903" s="72"/>
      <c r="C903" s="71"/>
      <c r="D903" s="71"/>
      <c r="E903" s="71"/>
      <c r="F903" s="71"/>
      <c r="G903" s="71"/>
      <c r="H903" s="71"/>
      <c r="I903" s="71"/>
      <c r="J903" s="71"/>
    </row>
    <row r="904" spans="1:10">
      <c r="A904" s="71"/>
      <c r="B904" s="72"/>
      <c r="C904" s="71"/>
      <c r="D904" s="71"/>
      <c r="E904" s="71"/>
      <c r="F904" s="71"/>
      <c r="G904" s="71"/>
      <c r="H904" s="71"/>
      <c r="I904" s="71"/>
      <c r="J904" s="71"/>
    </row>
    <row r="905" spans="1:10">
      <c r="A905" s="71"/>
      <c r="B905" s="72"/>
      <c r="C905" s="71"/>
      <c r="D905" s="71"/>
      <c r="E905" s="71"/>
      <c r="F905" s="71"/>
      <c r="G905" s="71"/>
      <c r="H905" s="71"/>
      <c r="I905" s="71"/>
      <c r="J905" s="71"/>
    </row>
    <row r="906" spans="1:10">
      <c r="A906" s="71"/>
      <c r="B906" s="72"/>
      <c r="C906" s="71"/>
      <c r="D906" s="71"/>
      <c r="E906" s="71"/>
      <c r="F906" s="71"/>
      <c r="G906" s="71"/>
      <c r="H906" s="71"/>
      <c r="I906" s="71"/>
      <c r="J906" s="71"/>
    </row>
    <row r="907" spans="1:10">
      <c r="A907" s="71"/>
      <c r="B907" s="72"/>
      <c r="C907" s="71"/>
      <c r="D907" s="71"/>
      <c r="E907" s="71"/>
      <c r="F907" s="71"/>
      <c r="G907" s="71"/>
      <c r="H907" s="71"/>
      <c r="I907" s="71"/>
      <c r="J907" s="71"/>
    </row>
    <row r="908" spans="1:10">
      <c r="A908" s="71"/>
      <c r="B908" s="72"/>
      <c r="C908" s="71"/>
      <c r="D908" s="71"/>
      <c r="E908" s="71"/>
      <c r="F908" s="71"/>
      <c r="G908" s="71"/>
      <c r="H908" s="71"/>
      <c r="I908" s="71"/>
      <c r="J908" s="71"/>
    </row>
  </sheetData>
  <mergeCells count="6">
    <mergeCell ref="B38:C38"/>
    <mergeCell ref="B1:I1"/>
    <mergeCell ref="B2:I2"/>
    <mergeCell ref="D34:E34"/>
    <mergeCell ref="F34:G34"/>
    <mergeCell ref="H34:I34"/>
  </mergeCells>
  <conditionalFormatting sqref="A21:G21 I21:J21 A22:J22 A34:C34 H34:J34 A35:J38 A23:G27 I23:J27">
    <cfRule type="cellIs" dxfId="62" priority="24" operator="equal">
      <formula>0</formula>
    </cfRule>
  </conditionalFormatting>
  <conditionalFormatting sqref="A1:J20">
    <cfRule type="cellIs" dxfId="61" priority="2" operator="equal">
      <formula>0</formula>
    </cfRule>
  </conditionalFormatting>
  <conditionalFormatting sqref="A28:J33">
    <cfRule type="cellIs" dxfId="60" priority="12" operator="equal">
      <formula>0</formula>
    </cfRule>
  </conditionalFormatting>
  <conditionalFormatting sqref="B35:B37 D35:I37">
    <cfRule type="cellIs" dxfId="59" priority="26" operator="equal">
      <formula>0</formula>
    </cfRule>
  </conditionalFormatting>
  <conditionalFormatting sqref="C40:C44">
    <cfRule type="cellIs" dxfId="58" priority="6" operator="equal">
      <formula>0</formula>
    </cfRule>
  </conditionalFormatting>
  <conditionalFormatting sqref="C46:C50">
    <cfRule type="cellIs" dxfId="57" priority="5" operator="equal">
      <formula>0</formula>
    </cfRule>
  </conditionalFormatting>
  <conditionalFormatting sqref="D35:G38">
    <cfRule type="expression" dxfId="56" priority="19">
      <formula>#REF!="hide"</formula>
    </cfRule>
  </conditionalFormatting>
  <conditionalFormatting sqref="H36:H37">
    <cfRule type="cellIs" dxfId="55" priority="16" operator="equal">
      <formula>0</formula>
    </cfRule>
  </conditionalFormatting>
  <conditionalFormatting sqref="H25">
    <cfRule type="cellIs" dxfId="54" priority="1" operator="equal">
      <formula>0</formula>
    </cfRule>
  </conditionalFormatting>
  <dataValidations count="2">
    <dataValidation allowBlank="1" showErrorMessage="1" sqref="F19:F20 I20:I27 C20:E27 F22:F27 G19:H27" xr:uid="{D245878D-A51A-4FF6-A761-F1866EC649B9}"/>
    <dataValidation type="list" allowBlank="1" showErrorMessage="1" sqref="F21 I19" xr:uid="{4D201E77-217F-4AC6-8CCC-29C98A6BA592}">
      <formula1>"N,Y"</formula1>
    </dataValidation>
  </dataValidations>
  <pageMargins left="0.28999999999999998" right="0.24" top="0.75" bottom="0.75" header="0.3" footer="0.3"/>
  <pageSetup paperSize="9"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CE1F9-B51A-47B4-AC88-D5CAB8230DE4}">
  <dimension ref="A1:O917"/>
  <sheetViews>
    <sheetView topLeftCell="A17" workbookViewId="0">
      <selection activeCell="I49" sqref="I49"/>
    </sheetView>
  </sheetViews>
  <sheetFormatPr defaultRowHeight="15" outlineLevelRow="1"/>
  <cols>
    <col min="1" max="1" width="1.3984375" style="77" customWidth="1"/>
    <col min="2" max="2" width="7.09765625" style="77" customWidth="1"/>
    <col min="3" max="3" width="73.8984375" style="77" customWidth="1"/>
    <col min="4" max="4" width="7.3984375" style="77" customWidth="1"/>
    <col min="5" max="5" width="22.3984375" style="77" hidden="1" customWidth="1"/>
    <col min="6" max="6" width="8.09765625" style="77" hidden="1" customWidth="1"/>
    <col min="7" max="7" width="18.296875" style="77" hidden="1" customWidth="1"/>
    <col min="8" max="8" width="9" style="77" bestFit="1" customWidth="1"/>
    <col min="9" max="9" width="20.3984375" style="77" bestFit="1" customWidth="1"/>
    <col min="10" max="10" width="2.3984375" style="77" customWidth="1"/>
    <col min="11" max="11" width="20.296875" customWidth="1"/>
    <col min="12" max="12" width="16.3984375" bestFit="1" customWidth="1"/>
    <col min="13" max="15" width="15.3984375" bestFit="1" customWidth="1"/>
  </cols>
  <sheetData>
    <row r="1" spans="1:15" ht="21" customHeight="1">
      <c r="A1" s="1"/>
      <c r="B1" s="175" t="s">
        <v>0</v>
      </c>
      <c r="C1" s="175"/>
      <c r="D1" s="175"/>
      <c r="E1" s="175"/>
      <c r="F1" s="175"/>
      <c r="G1" s="175"/>
      <c r="H1" s="175"/>
      <c r="I1" s="175"/>
      <c r="J1" s="2"/>
    </row>
    <row r="2" spans="1:15" ht="64.349999999999994" customHeight="1">
      <c r="A2" s="1"/>
      <c r="B2" s="176" t="s">
        <v>1</v>
      </c>
      <c r="C2" s="176"/>
      <c r="D2" s="176"/>
      <c r="E2" s="176"/>
      <c r="F2" s="176"/>
      <c r="G2" s="176"/>
      <c r="H2" s="176"/>
      <c r="I2" s="176"/>
      <c r="J2" s="2"/>
      <c r="K2" s="109"/>
      <c r="L2" s="110"/>
    </row>
    <row r="3" spans="1:15">
      <c r="A3" s="1"/>
      <c r="B3" s="3"/>
      <c r="C3" s="1"/>
      <c r="D3" s="1"/>
      <c r="E3" s="1"/>
      <c r="F3" s="1"/>
      <c r="G3" s="1"/>
      <c r="H3" s="1"/>
      <c r="I3" s="1"/>
      <c r="J3" s="1"/>
    </row>
    <row r="4" spans="1:15" ht="15.6">
      <c r="A4" s="1"/>
      <c r="B4" s="4" t="s">
        <v>2</v>
      </c>
      <c r="C4" s="5" t="s">
        <v>3</v>
      </c>
      <c r="D4" s="5"/>
      <c r="E4" s="5"/>
      <c r="F4" s="5"/>
      <c r="G4" s="5"/>
      <c r="H4" s="5"/>
      <c r="I4" s="6"/>
      <c r="J4" s="1"/>
      <c r="L4" s="107"/>
      <c r="M4" s="107"/>
    </row>
    <row r="5" spans="1:15" ht="15.6">
      <c r="A5" s="1"/>
      <c r="B5" s="7">
        <v>1</v>
      </c>
      <c r="C5" s="8" t="s">
        <v>4</v>
      </c>
      <c r="D5" s="8"/>
      <c r="E5" s="8"/>
      <c r="F5" s="8"/>
      <c r="G5" s="8"/>
      <c r="H5" s="9"/>
      <c r="I5" s="87" t="str">
        <f>TTKQ!I5</f>
        <v>S2.3108</v>
      </c>
      <c r="J5" s="1"/>
      <c r="K5" s="79" t="s">
        <v>39</v>
      </c>
      <c r="M5" s="107"/>
    </row>
    <row r="6" spans="1:15">
      <c r="A6" s="1"/>
      <c r="B6" s="10">
        <v>2</v>
      </c>
      <c r="C6" s="11" t="s">
        <v>46</v>
      </c>
      <c r="D6" s="11"/>
      <c r="E6" s="11"/>
      <c r="F6" s="11"/>
      <c r="G6" s="11"/>
      <c r="H6" s="12"/>
      <c r="I6" s="13" t="str">
        <f>TTKQ!I6</f>
        <v>Imperia Sky Park</v>
      </c>
      <c r="J6" s="1"/>
    </row>
    <row r="7" spans="1:15">
      <c r="A7" s="1"/>
      <c r="B7" s="10">
        <v>3</v>
      </c>
      <c r="C7" s="11" t="s">
        <v>5</v>
      </c>
      <c r="D7" s="11"/>
      <c r="E7" s="11"/>
      <c r="F7" s="11"/>
      <c r="G7" s="11"/>
      <c r="H7" s="12"/>
      <c r="I7" s="13" t="str">
        <f>TTKQ!I7</f>
        <v>S2</v>
      </c>
      <c r="J7" s="1"/>
    </row>
    <row r="8" spans="1:15">
      <c r="A8" s="1"/>
      <c r="B8" s="10">
        <v>4</v>
      </c>
      <c r="C8" s="11" t="s">
        <v>6</v>
      </c>
      <c r="D8" s="11"/>
      <c r="E8" s="11"/>
      <c r="F8" s="11"/>
      <c r="G8" s="11"/>
      <c r="H8" s="12"/>
      <c r="I8" s="13">
        <f>TTKQ!I8</f>
        <v>12</v>
      </c>
      <c r="J8" s="1"/>
    </row>
    <row r="9" spans="1:15">
      <c r="A9" s="1"/>
      <c r="B9" s="10">
        <v>5</v>
      </c>
      <c r="C9" s="11" t="s">
        <v>7</v>
      </c>
      <c r="D9" s="11"/>
      <c r="E9" s="11"/>
      <c r="F9" s="11"/>
      <c r="G9" s="11"/>
      <c r="H9" s="12"/>
      <c r="I9" s="13" t="str">
        <f>TTKQ!I9</f>
        <v>08</v>
      </c>
      <c r="J9" s="1"/>
    </row>
    <row r="10" spans="1:15" ht="15.6">
      <c r="A10" s="1"/>
      <c r="B10" s="10">
        <v>6</v>
      </c>
      <c r="C10" s="11" t="s">
        <v>8</v>
      </c>
      <c r="D10" s="11"/>
      <c r="E10" s="11"/>
      <c r="F10" s="11"/>
      <c r="G10" s="11"/>
      <c r="H10" s="12"/>
      <c r="I10" s="87">
        <f>TTKQ!I10</f>
        <v>0</v>
      </c>
      <c r="J10" s="1"/>
      <c r="K10" s="79" t="s">
        <v>47</v>
      </c>
    </row>
    <row r="11" spans="1:15" ht="15.6">
      <c r="A11" s="1"/>
      <c r="B11" s="10">
        <v>7</v>
      </c>
      <c r="C11" s="11" t="s">
        <v>49</v>
      </c>
      <c r="D11" s="86"/>
      <c r="E11" s="86"/>
      <c r="F11" s="86"/>
      <c r="G11" s="86"/>
      <c r="H11" s="1"/>
      <c r="I11" s="88">
        <f>TTKQ!I11</f>
        <v>0</v>
      </c>
      <c r="J11" s="1"/>
      <c r="K11" s="79" t="s">
        <v>48</v>
      </c>
    </row>
    <row r="12" spans="1:15" ht="15.6">
      <c r="A12" s="1"/>
      <c r="B12" s="4" t="s">
        <v>9</v>
      </c>
      <c r="C12" s="5" t="s">
        <v>10</v>
      </c>
      <c r="D12" s="5" t="str">
        <f>TTKQ!$F$12</f>
        <v>BÀN GIAO KHÔNG GIAN SÁNG TẠO</v>
      </c>
      <c r="E12" s="5"/>
      <c r="F12" s="5"/>
      <c r="G12" s="5"/>
      <c r="H12" s="5"/>
      <c r="I12" s="6"/>
      <c r="J12" s="1"/>
    </row>
    <row r="13" spans="1:15" ht="15.6">
      <c r="A13" s="1"/>
      <c r="B13" s="14"/>
      <c r="C13" s="15" t="s">
        <v>11</v>
      </c>
      <c r="D13" s="16"/>
      <c r="E13" s="16"/>
      <c r="F13" s="16"/>
      <c r="G13" s="16"/>
      <c r="H13" s="17"/>
      <c r="I13" s="89">
        <f>TTKQ!I13</f>
        <v>9424447600</v>
      </c>
      <c r="J13" s="1"/>
      <c r="K13" s="79" t="s">
        <v>40</v>
      </c>
      <c r="M13" s="109"/>
    </row>
    <row r="14" spans="1:15">
      <c r="A14" s="1"/>
      <c r="B14" s="18"/>
      <c r="C14" s="19" t="s">
        <v>12</v>
      </c>
      <c r="D14" s="19"/>
      <c r="E14" s="19"/>
      <c r="F14" s="19"/>
      <c r="G14" s="19"/>
      <c r="H14" s="20"/>
      <c r="I14" s="21">
        <f>TTKQ!I14</f>
        <v>942444760</v>
      </c>
      <c r="J14" s="1"/>
      <c r="M14" s="107"/>
      <c r="N14" s="107"/>
      <c r="O14" s="107"/>
    </row>
    <row r="15" spans="1:15" ht="15.6">
      <c r="A15" s="1"/>
      <c r="B15" s="18"/>
      <c r="C15" s="15" t="s">
        <v>13</v>
      </c>
      <c r="D15" s="19"/>
      <c r="E15" s="19"/>
      <c r="F15" s="19"/>
      <c r="G15" s="19"/>
      <c r="H15" s="20"/>
      <c r="I15" s="89">
        <f>TTKQ!I15</f>
        <v>10366892360</v>
      </c>
      <c r="J15" s="1"/>
      <c r="K15" s="79" t="s">
        <v>41</v>
      </c>
      <c r="O15" s="107"/>
    </row>
    <row r="16" spans="1:15">
      <c r="A16" s="1"/>
      <c r="B16" s="18"/>
      <c r="C16" s="19" t="s">
        <v>14</v>
      </c>
      <c r="D16" s="19"/>
      <c r="E16" s="19"/>
      <c r="F16" s="19"/>
      <c r="G16" s="19"/>
      <c r="H16" s="20"/>
      <c r="I16" s="21">
        <f>TTKQ!I16</f>
        <v>188488952</v>
      </c>
      <c r="J16" s="1"/>
      <c r="O16" s="107"/>
    </row>
    <row r="17" spans="1:14" ht="15.6">
      <c r="A17" s="1"/>
      <c r="B17" s="22"/>
      <c r="C17" s="23" t="s">
        <v>15</v>
      </c>
      <c r="D17" s="24"/>
      <c r="E17" s="24"/>
      <c r="F17" s="24"/>
      <c r="G17" s="24"/>
      <c r="H17" s="25"/>
      <c r="I17" s="90">
        <f>TTKQ!I17</f>
        <v>10555381312</v>
      </c>
      <c r="J17" s="1"/>
    </row>
    <row r="18" spans="1:14" ht="15.6">
      <c r="A18" s="1"/>
      <c r="B18" s="27" t="s">
        <v>16</v>
      </c>
      <c r="C18" s="28" t="s">
        <v>17</v>
      </c>
      <c r="D18" s="5"/>
      <c r="E18" s="5"/>
      <c r="F18" s="5"/>
      <c r="G18" s="5"/>
      <c r="H18" s="5"/>
      <c r="I18" s="6"/>
      <c r="J18" s="1"/>
    </row>
    <row r="19" spans="1:14" ht="15.6">
      <c r="A19" s="1"/>
      <c r="B19" s="135" t="s">
        <v>18</v>
      </c>
      <c r="C19" s="136" t="s">
        <v>19</v>
      </c>
      <c r="D19" s="137"/>
      <c r="E19" s="137"/>
      <c r="F19" s="137"/>
      <c r="G19" s="137"/>
      <c r="H19" s="137"/>
      <c r="I19" s="138" t="s">
        <v>83</v>
      </c>
      <c r="J19" s="1"/>
    </row>
    <row r="20" spans="1:14" ht="15.6">
      <c r="A20" s="1"/>
      <c r="B20" s="139" t="s">
        <v>20</v>
      </c>
      <c r="C20" s="94" t="s">
        <v>51</v>
      </c>
      <c r="D20" s="92"/>
      <c r="E20" s="92"/>
      <c r="F20" s="92"/>
      <c r="G20" s="92"/>
      <c r="H20" s="92"/>
      <c r="I20" s="140">
        <f>I22+I28+I21</f>
        <v>-435649670.19999999</v>
      </c>
      <c r="J20" s="1"/>
      <c r="N20" s="107">
        <f>I20-TTKQ!I20</f>
        <v>0</v>
      </c>
    </row>
    <row r="21" spans="1:14" ht="15.6">
      <c r="A21" s="1"/>
      <c r="B21" s="139"/>
      <c r="C21" s="128" t="s">
        <v>56</v>
      </c>
      <c r="D21" s="128"/>
      <c r="E21" s="128"/>
      <c r="F21" s="128"/>
      <c r="G21" s="128"/>
      <c r="H21" s="111">
        <f>TTKQ!H21</f>
        <v>6.9999999999999993E-3</v>
      </c>
      <c r="I21" s="141">
        <f>-H21*I13</f>
        <v>-65971133.199999996</v>
      </c>
      <c r="J21" s="1"/>
      <c r="K21" s="99" t="s">
        <v>59</v>
      </c>
      <c r="N21" s="107">
        <f>I21-TTKQ!I21</f>
        <v>0</v>
      </c>
    </row>
    <row r="22" spans="1:14" ht="15.6">
      <c r="A22" s="1"/>
      <c r="B22" s="142"/>
      <c r="C22" s="94" t="s">
        <v>45</v>
      </c>
      <c r="D22" s="92"/>
      <c r="E22" s="97"/>
      <c r="F22" s="97"/>
      <c r="G22" s="97"/>
      <c r="H22" s="35"/>
      <c r="I22" s="143">
        <f>SUM(I23:I27)</f>
        <v>-369678537</v>
      </c>
      <c r="J22" s="1"/>
      <c r="K22" s="79"/>
      <c r="N22" s="107">
        <f>I22-TTKQ!I22</f>
        <v>0</v>
      </c>
    </row>
    <row r="23" spans="1:14" ht="15.6">
      <c r="A23" s="1"/>
      <c r="B23" s="142"/>
      <c r="C23" s="98" t="str">
        <f>TTKQ!C23</f>
        <v>Quà tặng “Signature Privilege”</v>
      </c>
      <c r="D23" s="92"/>
      <c r="E23" s="97"/>
      <c r="F23" s="97"/>
      <c r="G23" s="97"/>
      <c r="H23" s="111">
        <f>TTKQ!H23</f>
        <v>0.02</v>
      </c>
      <c r="I23" s="144">
        <f>-ROUND(H23*SUM(I$13,$I$21),0)</f>
        <v>-187169529</v>
      </c>
      <c r="J23" s="1"/>
      <c r="K23" s="79" t="s">
        <v>52</v>
      </c>
      <c r="N23" s="107">
        <f>I23-TTKQ!I23</f>
        <v>0</v>
      </c>
    </row>
    <row r="24" spans="1:14" s="121" customFormat="1" ht="15.6">
      <c r="A24" s="1"/>
      <c r="B24" s="142"/>
      <c r="C24" s="98" t="str">
        <f>TTKQ!C24</f>
        <v>Quà tặng “Frontage Privilege” - S3</v>
      </c>
      <c r="D24" s="92"/>
      <c r="E24" s="97"/>
      <c r="F24" s="97"/>
      <c r="G24" s="97"/>
      <c r="H24" s="111">
        <f>TTKQ!H24</f>
        <v>0.01</v>
      </c>
      <c r="I24" s="144">
        <f>-ROUND(H24*SUM(I$13,I$23:I23,$I$21),0)</f>
        <v>-91713069</v>
      </c>
      <c r="J24" s="114"/>
      <c r="K24" s="120" t="s">
        <v>43</v>
      </c>
      <c r="N24" s="107">
        <f>I24-TTKQ!I24</f>
        <v>0</v>
      </c>
    </row>
    <row r="25" spans="1:14" s="121" customFormat="1" ht="15.6">
      <c r="A25" s="1"/>
      <c r="B25" s="142"/>
      <c r="C25" s="98" t="str">
        <f>TTKQ!C25</f>
        <v>Quà tặng “An Phúc Phú Quý”- E1, S1, S2</v>
      </c>
      <c r="D25" s="92"/>
      <c r="E25" s="97"/>
      <c r="F25" s="97"/>
      <c r="G25" s="97"/>
      <c r="H25" s="92"/>
      <c r="I25" s="157">
        <f>TTKQ!$I$25</f>
        <v>0</v>
      </c>
      <c r="J25" s="114"/>
      <c r="K25" s="120" t="s">
        <v>43</v>
      </c>
      <c r="N25" s="107"/>
    </row>
    <row r="26" spans="1:14" ht="15.6">
      <c r="A26" s="1"/>
      <c r="B26" s="142"/>
      <c r="C26" s="98" t="str">
        <f>TTKQ!C26</f>
        <v>Quà tặng “Elite Privilege”</v>
      </c>
      <c r="D26" s="92"/>
      <c r="E26" s="97"/>
      <c r="F26" s="97"/>
      <c r="G26" s="97"/>
      <c r="H26" s="111">
        <f>TTKQ!H26</f>
        <v>0.01</v>
      </c>
      <c r="I26" s="144">
        <f>-ROUND(H26*SUM(I$13,I$23:I25,$I$21),0)</f>
        <v>-90795939</v>
      </c>
      <c r="J26" s="1"/>
      <c r="K26" s="79" t="s">
        <v>43</v>
      </c>
      <c r="N26" s="107">
        <f>I26-TTKQ!I26</f>
        <v>0</v>
      </c>
    </row>
    <row r="27" spans="1:14" hidden="1" outlineLevel="1">
      <c r="A27" s="1"/>
      <c r="B27" s="142"/>
      <c r="C27" s="98" t="str">
        <f>TTKQ!C27</f>
        <v>Chiết khấu ưu đãi khác 3 (nếu có)</v>
      </c>
      <c r="D27" s="92"/>
      <c r="E27" s="97"/>
      <c r="F27" s="97"/>
      <c r="G27" s="97"/>
      <c r="H27" s="111">
        <f>TTKQ!H27</f>
        <v>0</v>
      </c>
      <c r="I27" s="145">
        <f>TTKQ!I27</f>
        <v>0</v>
      </c>
      <c r="J27" s="1"/>
      <c r="K27" s="79" t="s">
        <v>43</v>
      </c>
      <c r="N27" s="107">
        <f>I27-TTKQ!I27</f>
        <v>0</v>
      </c>
    </row>
    <row r="28" spans="1:14" ht="15.6" collapsed="1">
      <c r="A28" s="1"/>
      <c r="B28" s="146"/>
      <c r="C28" s="94" t="s">
        <v>54</v>
      </c>
      <c r="D28" s="92"/>
      <c r="E28" s="97"/>
      <c r="F28" s="97"/>
      <c r="G28" s="97"/>
      <c r="H28" s="111">
        <v>0</v>
      </c>
      <c r="I28" s="141">
        <f>-ROUND(H28*SUM(I$13,I$23:I27,$I$21),0)</f>
        <v>0</v>
      </c>
      <c r="J28" s="1"/>
      <c r="K28" s="79" t="s">
        <v>60</v>
      </c>
      <c r="N28" s="107"/>
    </row>
    <row r="29" spans="1:14" ht="15.6">
      <c r="A29" s="1"/>
      <c r="B29" s="147"/>
      <c r="C29" s="36" t="s">
        <v>24</v>
      </c>
      <c r="D29" s="16"/>
      <c r="E29" s="16"/>
      <c r="F29" s="16"/>
      <c r="G29" s="16"/>
      <c r="H29" s="17"/>
      <c r="I29" s="148">
        <f>I13+I20</f>
        <v>8988797929.7999992</v>
      </c>
      <c r="J29" s="1"/>
      <c r="K29" s="105">
        <f>I29/TTKQ!I28-1</f>
        <v>0</v>
      </c>
      <c r="M29" s="106"/>
    </row>
    <row r="30" spans="1:14">
      <c r="A30" s="1"/>
      <c r="B30" s="149"/>
      <c r="C30" s="19" t="s">
        <v>12</v>
      </c>
      <c r="D30" s="19"/>
      <c r="E30" s="19"/>
      <c r="F30" s="19"/>
      <c r="G30" s="19"/>
      <c r="H30" s="20"/>
      <c r="I30" s="150">
        <f>ROUND(I14+I20*10%,0)</f>
        <v>898879793</v>
      </c>
      <c r="J30" s="1"/>
      <c r="K30" s="105">
        <f>I30/TTKQ!I29-1</f>
        <v>0</v>
      </c>
      <c r="M30" s="106"/>
    </row>
    <row r="31" spans="1:14" ht="15.6">
      <c r="A31" s="1"/>
      <c r="B31" s="149"/>
      <c r="C31" s="15" t="s">
        <v>25</v>
      </c>
      <c r="D31" s="19"/>
      <c r="E31" s="19"/>
      <c r="F31" s="19"/>
      <c r="G31" s="19"/>
      <c r="H31" s="20"/>
      <c r="I31" s="151">
        <f>I29+I30</f>
        <v>9887677722.7999992</v>
      </c>
      <c r="J31" s="1"/>
      <c r="K31" s="105">
        <f>I31/TTKQ!I30-1</f>
        <v>0</v>
      </c>
      <c r="M31" s="106"/>
    </row>
    <row r="32" spans="1:14">
      <c r="A32" s="1"/>
      <c r="B32" s="149"/>
      <c r="C32" s="19" t="s">
        <v>14</v>
      </c>
      <c r="D32" s="19"/>
      <c r="E32" s="19"/>
      <c r="F32" s="19"/>
      <c r="G32" s="19"/>
      <c r="H32" s="20"/>
      <c r="I32" s="150">
        <f>ROUND(I29*2%,0)</f>
        <v>179775959</v>
      </c>
      <c r="J32" s="1"/>
      <c r="K32" s="105">
        <f>I32/TTKQ!I31-1</f>
        <v>0</v>
      </c>
      <c r="M32" s="106"/>
    </row>
    <row r="33" spans="1:13" ht="15.6">
      <c r="A33" s="1"/>
      <c r="B33" s="152"/>
      <c r="C33" s="153" t="s">
        <v>26</v>
      </c>
      <c r="D33" s="154"/>
      <c r="E33" s="154"/>
      <c r="F33" s="154"/>
      <c r="G33" s="154"/>
      <c r="H33" s="155"/>
      <c r="I33" s="156">
        <f>I31+I32</f>
        <v>10067453681.799999</v>
      </c>
      <c r="J33" s="1"/>
      <c r="K33" s="105">
        <f>I33/TTKQ!I32-1</f>
        <v>0</v>
      </c>
      <c r="M33" s="106"/>
    </row>
    <row r="34" spans="1:13" ht="15.6">
      <c r="A34" s="1"/>
      <c r="B34" s="132" t="s">
        <v>38</v>
      </c>
      <c r="C34" s="133" t="s">
        <v>33</v>
      </c>
      <c r="D34" s="133"/>
      <c r="E34" s="133"/>
      <c r="F34" s="133"/>
      <c r="G34" s="133"/>
      <c r="H34" s="133"/>
      <c r="I34" s="134"/>
      <c r="J34" s="1"/>
    </row>
    <row r="35" spans="1:13" ht="15.6">
      <c r="A35" s="1"/>
      <c r="B35" s="45" t="s">
        <v>27</v>
      </c>
      <c r="C35" s="45" t="s">
        <v>28</v>
      </c>
      <c r="D35" s="177"/>
      <c r="E35" s="177"/>
      <c r="F35" s="178"/>
      <c r="G35" s="178"/>
      <c r="H35" s="178" t="s">
        <v>31</v>
      </c>
      <c r="I35" s="179"/>
      <c r="J35" s="1"/>
    </row>
    <row r="36" spans="1:13" ht="15.6">
      <c r="A36" s="1"/>
      <c r="B36" s="58"/>
      <c r="C36" s="59" t="s">
        <v>34</v>
      </c>
      <c r="D36" s="60"/>
      <c r="E36" s="61"/>
      <c r="F36" s="60"/>
      <c r="G36" s="62"/>
      <c r="H36" s="63"/>
      <c r="I36" s="64">
        <f>IF(TTKQ!$I$19="Y",0,100000000)</f>
        <v>0</v>
      </c>
      <c r="J36" s="52"/>
    </row>
    <row r="37" spans="1:13" ht="15.6">
      <c r="A37" s="1"/>
      <c r="B37" s="82">
        <v>1</v>
      </c>
      <c r="C37" s="65" t="s">
        <v>53</v>
      </c>
      <c r="D37" s="66"/>
      <c r="E37" s="67"/>
      <c r="F37" s="66"/>
      <c r="G37" s="68"/>
      <c r="H37" s="69">
        <v>0.2</v>
      </c>
      <c r="I37" s="70">
        <f>ROUND(H37*I$31,0)-I36</f>
        <v>1977535545</v>
      </c>
      <c r="J37" s="52"/>
      <c r="K37" t="s">
        <v>81</v>
      </c>
      <c r="L37" s="124">
        <f>IF(TTKQ!$I$19="Y",I37-TTKQ!$I$38,I37)</f>
        <v>494383887</v>
      </c>
    </row>
    <row r="38" spans="1:13" ht="15.6">
      <c r="A38" s="1"/>
      <c r="B38" s="46">
        <v>2</v>
      </c>
      <c r="C38" s="53" t="s">
        <v>35</v>
      </c>
      <c r="D38" s="47"/>
      <c r="E38" s="48"/>
      <c r="F38" s="47"/>
      <c r="G38" s="49"/>
      <c r="H38" s="69">
        <v>0.05</v>
      </c>
      <c r="I38" s="51">
        <f t="shared" ref="I38:I39" si="0">ROUND(H38*I$31,0)</f>
        <v>494383886</v>
      </c>
      <c r="J38" s="1"/>
    </row>
    <row r="39" spans="1:13" ht="15.6">
      <c r="A39" s="1"/>
      <c r="B39" s="46">
        <v>3</v>
      </c>
      <c r="C39" s="53" t="s">
        <v>61</v>
      </c>
      <c r="D39" s="47"/>
      <c r="E39" s="48"/>
      <c r="F39" s="47"/>
      <c r="G39" s="49"/>
      <c r="H39" s="69">
        <v>0.05</v>
      </c>
      <c r="I39" s="51">
        <f t="shared" si="0"/>
        <v>494383886</v>
      </c>
      <c r="J39" s="1"/>
    </row>
    <row r="40" spans="1:13" ht="15.6">
      <c r="A40" s="1"/>
      <c r="B40" s="82">
        <v>4</v>
      </c>
      <c r="C40" s="53" t="s">
        <v>64</v>
      </c>
      <c r="D40" s="47"/>
      <c r="E40" s="48"/>
      <c r="F40" s="47"/>
      <c r="G40" s="49"/>
      <c r="H40" s="69">
        <v>0.05</v>
      </c>
      <c r="I40" s="51">
        <f>IF(LEFT(C40,8)="Bàn giao",I$33-SUM(#REF!,I$37,I$39:I39),ROUND(H40*I$31,0))</f>
        <v>494383886</v>
      </c>
      <c r="J40" s="1"/>
    </row>
    <row r="41" spans="1:13" ht="15.6">
      <c r="A41" s="1"/>
      <c r="B41" s="46">
        <v>5</v>
      </c>
      <c r="C41" s="53" t="s">
        <v>63</v>
      </c>
      <c r="D41" s="47"/>
      <c r="E41" s="48"/>
      <c r="F41" s="47"/>
      <c r="G41" s="49"/>
      <c r="H41" s="69">
        <v>0.05</v>
      </c>
      <c r="I41" s="51">
        <f>IF(LEFT(C41,8)="Bàn giao",I$33-SUM(#REF!,I$37,I$39:I40),ROUND(H41*I$31,0))</f>
        <v>494383886</v>
      </c>
      <c r="J41" s="1"/>
    </row>
    <row r="42" spans="1:13" ht="15.6">
      <c r="A42" s="1"/>
      <c r="B42" s="46">
        <v>6</v>
      </c>
      <c r="C42" s="53" t="s">
        <v>65</v>
      </c>
      <c r="D42" s="47"/>
      <c r="E42" s="48"/>
      <c r="F42" s="47"/>
      <c r="G42" s="49"/>
      <c r="H42" s="69">
        <v>0.05</v>
      </c>
      <c r="I42" s="51">
        <f>IF(LEFT(C42,8)="Bàn giao",I$33-SUM(#REF!,I$37,I$39:I41),ROUND(H42*I$31,0))</f>
        <v>494383886</v>
      </c>
      <c r="J42" s="1"/>
    </row>
    <row r="43" spans="1:13" ht="15.6">
      <c r="A43" s="1"/>
      <c r="B43" s="82">
        <v>7</v>
      </c>
      <c r="C43" s="53" t="s">
        <v>66</v>
      </c>
      <c r="D43" s="47"/>
      <c r="E43" s="48"/>
      <c r="F43" s="47"/>
      <c r="G43" s="49"/>
      <c r="H43" s="69">
        <v>0.05</v>
      </c>
      <c r="I43" s="51">
        <f>IF(LEFT(C43,8)="Bàn giao",I$33-SUM(#REF!,I$37,I$39:I42),ROUND(H43*I$31,0))</f>
        <v>494383886</v>
      </c>
      <c r="J43" s="1"/>
    </row>
    <row r="44" spans="1:13" ht="15.6">
      <c r="A44" s="1"/>
      <c r="B44" s="46">
        <v>8</v>
      </c>
      <c r="C44" s="53" t="s">
        <v>67</v>
      </c>
      <c r="D44" s="47"/>
      <c r="E44" s="48"/>
      <c r="F44" s="47"/>
      <c r="G44" s="49"/>
      <c r="H44" s="69">
        <v>0.05</v>
      </c>
      <c r="I44" s="51">
        <f>IF(LEFT(C44,8)="Bàn giao",I$33-SUM(#REF!,I$37,I$39:I41),ROUND(H44*I$31,0))</f>
        <v>494383886</v>
      </c>
      <c r="J44" s="1"/>
    </row>
    <row r="45" spans="1:13" ht="15.6">
      <c r="A45" s="1"/>
      <c r="B45" s="46">
        <v>9</v>
      </c>
      <c r="C45" s="53" t="s">
        <v>68</v>
      </c>
      <c r="D45" s="47"/>
      <c r="E45" s="48"/>
      <c r="F45" s="47"/>
      <c r="G45" s="49"/>
      <c r="H45" s="69">
        <v>0.05</v>
      </c>
      <c r="I45" s="51">
        <f>IF(LEFT(C45,8)="Bàn giao",I$33-SUM(#REF!,I$37,I$39:I42),ROUND(H45*I$31,0))</f>
        <v>494383886</v>
      </c>
      <c r="J45" s="1"/>
    </row>
    <row r="46" spans="1:13" ht="15.6">
      <c r="A46" s="1"/>
      <c r="B46" s="82">
        <v>10</v>
      </c>
      <c r="C46" s="53" t="s">
        <v>69</v>
      </c>
      <c r="D46" s="47"/>
      <c r="E46" s="48"/>
      <c r="F46" s="47"/>
      <c r="G46" s="49"/>
      <c r="H46" s="50">
        <f>(I46-I32)/I31</f>
        <v>0.4000000000687724</v>
      </c>
      <c r="I46" s="51">
        <f>IF(LEFT(C46,8)="Bàn giao",I$33-SUM(I36,I$37,I$38:I45),ROUND(H46*I$31,0))</f>
        <v>4134847048.7999992</v>
      </c>
      <c r="J46" s="1"/>
    </row>
    <row r="47" spans="1:13" ht="15.6">
      <c r="A47" s="1"/>
      <c r="B47" s="173" t="s">
        <v>32</v>
      </c>
      <c r="C47" s="174"/>
      <c r="D47" s="54"/>
      <c r="E47" s="55"/>
      <c r="F47" s="54"/>
      <c r="G47" s="55"/>
      <c r="H47" s="56">
        <f>SUM(H37:H46)</f>
        <v>1.0000000000687723</v>
      </c>
      <c r="I47" s="57">
        <f>SUM(I38:I46,I37,I36)</f>
        <v>10067453681.799999</v>
      </c>
      <c r="J47" s="1"/>
    </row>
    <row r="48" spans="1:13">
      <c r="A48" s="71"/>
      <c r="B48" s="72"/>
      <c r="C48" s="71"/>
      <c r="D48" s="71"/>
      <c r="E48" s="71"/>
      <c r="F48" s="71"/>
      <c r="G48" s="71"/>
      <c r="H48" s="71"/>
      <c r="I48" s="101"/>
      <c r="J48" s="71"/>
    </row>
    <row r="49" spans="1:10" ht="15.6">
      <c r="A49" s="71"/>
      <c r="B49" s="72"/>
      <c r="C49" s="71"/>
      <c r="D49" s="71"/>
      <c r="E49" s="74"/>
      <c r="F49" s="71"/>
      <c r="G49" s="71"/>
      <c r="H49" s="71"/>
      <c r="I49" s="71"/>
      <c r="J49" s="71"/>
    </row>
    <row r="50" spans="1:10" ht="15.6">
      <c r="A50" s="71"/>
      <c r="B50" s="72"/>
      <c r="C50" s="71"/>
      <c r="D50" s="71"/>
      <c r="E50" s="74"/>
      <c r="F50" s="71"/>
      <c r="G50" s="71"/>
      <c r="H50" s="71"/>
      <c r="I50" s="71"/>
      <c r="J50" s="71"/>
    </row>
    <row r="51" spans="1:10" ht="15.6">
      <c r="A51" s="71"/>
      <c r="B51" s="72"/>
      <c r="C51" s="71"/>
      <c r="D51" s="71"/>
      <c r="E51" s="75"/>
      <c r="F51" s="71"/>
      <c r="G51" s="71"/>
      <c r="H51" s="71"/>
      <c r="I51" s="71"/>
      <c r="J51" s="71"/>
    </row>
    <row r="52" spans="1:10" ht="15.6">
      <c r="A52" s="71"/>
      <c r="B52" s="72"/>
      <c r="C52" s="71"/>
      <c r="D52" s="71"/>
      <c r="E52" s="74"/>
      <c r="F52" s="71"/>
      <c r="G52" s="71"/>
      <c r="H52" s="71"/>
      <c r="I52" s="71"/>
      <c r="J52" s="71"/>
    </row>
    <row r="53" spans="1:10">
      <c r="A53" s="71"/>
      <c r="B53" s="72"/>
      <c r="C53" s="71"/>
      <c r="D53" s="71"/>
      <c r="E53" s="71"/>
      <c r="F53" s="71"/>
      <c r="G53" s="71"/>
      <c r="H53" s="71"/>
      <c r="I53" s="71"/>
      <c r="J53" s="71"/>
    </row>
    <row r="54" spans="1:10">
      <c r="A54" s="71"/>
      <c r="B54" s="72"/>
      <c r="C54" s="71"/>
      <c r="D54" s="71"/>
      <c r="E54" s="71"/>
      <c r="F54" s="71"/>
      <c r="G54" s="71"/>
      <c r="H54" s="71"/>
      <c r="I54" s="71"/>
      <c r="J54" s="71"/>
    </row>
    <row r="55" spans="1:10">
      <c r="A55" s="71"/>
      <c r="B55" s="72"/>
      <c r="C55" s="71"/>
      <c r="D55" s="71"/>
      <c r="E55" s="71"/>
      <c r="F55" s="71"/>
      <c r="G55" s="71"/>
      <c r="H55" s="71"/>
      <c r="I55" s="71"/>
      <c r="J55" s="71"/>
    </row>
    <row r="56" spans="1:10">
      <c r="A56" s="71"/>
      <c r="B56" s="72"/>
      <c r="C56" s="71"/>
      <c r="D56" s="71"/>
      <c r="E56" s="71"/>
      <c r="F56" s="71"/>
      <c r="G56" s="71"/>
      <c r="H56" s="71"/>
      <c r="I56" s="71"/>
      <c r="J56" s="71"/>
    </row>
    <row r="57" spans="1:10">
      <c r="A57" s="71"/>
      <c r="B57" s="72"/>
      <c r="C57" s="71"/>
      <c r="D57" s="71"/>
      <c r="E57" s="71"/>
      <c r="F57" s="71"/>
      <c r="G57" s="71"/>
      <c r="H57" s="71"/>
      <c r="I57" s="71"/>
      <c r="J57" s="71"/>
    </row>
    <row r="58" spans="1:10">
      <c r="A58" s="71"/>
      <c r="B58" s="72"/>
      <c r="C58" s="71"/>
      <c r="D58" s="71"/>
      <c r="E58" s="71"/>
      <c r="F58" s="71"/>
      <c r="G58" s="71"/>
      <c r="H58" s="71"/>
      <c r="I58" s="71"/>
      <c r="J58" s="71"/>
    </row>
    <row r="59" spans="1:10">
      <c r="A59" s="71"/>
      <c r="B59" s="72"/>
      <c r="C59" s="71"/>
      <c r="D59" s="71"/>
      <c r="E59" s="71"/>
      <c r="F59" s="71"/>
      <c r="G59" s="71"/>
      <c r="H59" s="71"/>
      <c r="I59" s="71"/>
      <c r="J59" s="71"/>
    </row>
    <row r="60" spans="1:10">
      <c r="A60" s="71"/>
      <c r="B60" s="72"/>
      <c r="C60" s="71"/>
      <c r="D60" s="71"/>
      <c r="E60" s="71"/>
      <c r="F60" s="71"/>
      <c r="G60" s="71"/>
      <c r="H60" s="71"/>
      <c r="I60" s="71"/>
      <c r="J60" s="71"/>
    </row>
    <row r="61" spans="1:10">
      <c r="A61" s="71"/>
      <c r="B61" s="72"/>
      <c r="C61" s="71"/>
      <c r="D61" s="71"/>
      <c r="E61" s="71"/>
      <c r="F61" s="71"/>
      <c r="G61" s="71"/>
      <c r="H61" s="71"/>
      <c r="I61" s="71"/>
      <c r="J61" s="71"/>
    </row>
    <row r="62" spans="1:10">
      <c r="A62" s="71"/>
      <c r="B62" s="72"/>
      <c r="C62" s="71"/>
      <c r="D62" s="71"/>
      <c r="E62" s="71"/>
      <c r="F62" s="71"/>
      <c r="G62" s="71"/>
      <c r="H62" s="71"/>
      <c r="I62" s="71"/>
      <c r="J62" s="71"/>
    </row>
    <row r="63" spans="1:10">
      <c r="A63" s="71"/>
      <c r="B63" s="72"/>
      <c r="C63" s="71"/>
      <c r="D63" s="71"/>
      <c r="E63" s="71"/>
      <c r="F63" s="71"/>
      <c r="G63" s="71"/>
      <c r="H63" s="71"/>
      <c r="I63" s="71"/>
      <c r="J63" s="71"/>
    </row>
    <row r="64" spans="1:10">
      <c r="A64" s="71"/>
      <c r="B64" s="72"/>
      <c r="C64" s="71"/>
      <c r="D64" s="71"/>
      <c r="E64" s="71"/>
      <c r="F64" s="71"/>
      <c r="G64" s="71"/>
      <c r="H64" s="71"/>
      <c r="I64" s="71"/>
      <c r="J64" s="71"/>
    </row>
    <row r="65" spans="1:10">
      <c r="A65" s="71"/>
      <c r="B65" s="72"/>
      <c r="C65" s="71"/>
      <c r="D65" s="71"/>
      <c r="E65" s="71"/>
      <c r="F65" s="71"/>
      <c r="G65" s="71"/>
      <c r="H65" s="71"/>
      <c r="I65" s="71"/>
      <c r="J65" s="71"/>
    </row>
    <row r="66" spans="1:10">
      <c r="A66" s="71"/>
      <c r="B66" s="72"/>
      <c r="C66" s="71"/>
      <c r="D66" s="71"/>
      <c r="E66" s="71"/>
      <c r="F66" s="71"/>
      <c r="G66" s="71"/>
      <c r="H66" s="71"/>
      <c r="I66" s="71"/>
      <c r="J66" s="71"/>
    </row>
    <row r="67" spans="1:10">
      <c r="A67" s="71"/>
      <c r="B67" s="72"/>
      <c r="C67" s="71"/>
      <c r="D67" s="71"/>
      <c r="E67" s="71"/>
      <c r="F67" s="71"/>
      <c r="G67" s="71"/>
      <c r="H67" s="71"/>
      <c r="I67" s="71"/>
      <c r="J67" s="71"/>
    </row>
    <row r="68" spans="1:10">
      <c r="A68" s="71"/>
      <c r="B68" s="72"/>
      <c r="C68" s="71"/>
      <c r="D68" s="71"/>
      <c r="E68" s="71"/>
      <c r="F68" s="71"/>
      <c r="G68" s="71"/>
      <c r="H68" s="71"/>
      <c r="I68" s="71"/>
      <c r="J68" s="71"/>
    </row>
    <row r="69" spans="1:10">
      <c r="A69" s="71"/>
      <c r="B69" s="72"/>
      <c r="C69" s="71"/>
      <c r="D69" s="71"/>
      <c r="E69" s="71"/>
      <c r="F69" s="71"/>
      <c r="G69" s="71"/>
      <c r="H69" s="71"/>
      <c r="I69" s="71"/>
      <c r="J69" s="71"/>
    </row>
    <row r="70" spans="1:10">
      <c r="A70" s="71"/>
      <c r="B70" s="72"/>
      <c r="C70" s="71"/>
      <c r="D70" s="71"/>
      <c r="E70" s="71"/>
      <c r="F70" s="71"/>
      <c r="G70" s="71"/>
      <c r="H70" s="71"/>
      <c r="I70" s="71"/>
      <c r="J70" s="71"/>
    </row>
    <row r="71" spans="1:10">
      <c r="A71" s="71"/>
      <c r="B71" s="72"/>
      <c r="C71" s="71"/>
      <c r="D71" s="71"/>
      <c r="E71" s="71"/>
      <c r="F71" s="71"/>
      <c r="G71" s="71"/>
      <c r="H71" s="71"/>
      <c r="I71" s="71"/>
      <c r="J71" s="71"/>
    </row>
    <row r="72" spans="1:10">
      <c r="A72" s="71"/>
      <c r="B72" s="72"/>
      <c r="C72" s="71"/>
      <c r="D72" s="71"/>
      <c r="E72" s="71"/>
      <c r="F72" s="71"/>
      <c r="G72" s="71"/>
      <c r="H72" s="71"/>
      <c r="I72" s="71"/>
      <c r="J72" s="71"/>
    </row>
    <row r="73" spans="1:10">
      <c r="A73" s="71"/>
      <c r="B73" s="72"/>
      <c r="C73" s="71"/>
      <c r="D73" s="71"/>
      <c r="E73" s="71"/>
      <c r="F73" s="71"/>
      <c r="G73" s="71"/>
      <c r="H73" s="71"/>
      <c r="I73" s="71"/>
      <c r="J73" s="71"/>
    </row>
    <row r="74" spans="1:10">
      <c r="A74" s="71"/>
      <c r="B74" s="72"/>
      <c r="C74" s="71"/>
      <c r="D74" s="71"/>
      <c r="E74" s="71"/>
      <c r="F74" s="71"/>
      <c r="G74" s="71"/>
      <c r="H74" s="71"/>
      <c r="I74" s="71"/>
      <c r="J74" s="71"/>
    </row>
    <row r="75" spans="1:10">
      <c r="A75" s="71"/>
      <c r="B75" s="72"/>
      <c r="C75" s="71"/>
      <c r="D75" s="71"/>
      <c r="E75" s="71"/>
      <c r="F75" s="71"/>
      <c r="G75" s="71"/>
      <c r="H75" s="71"/>
      <c r="I75" s="71"/>
      <c r="J75" s="71"/>
    </row>
    <row r="76" spans="1:10">
      <c r="A76" s="71"/>
      <c r="B76" s="72"/>
      <c r="C76" s="71"/>
      <c r="D76" s="71"/>
      <c r="E76" s="71"/>
      <c r="F76" s="71"/>
      <c r="G76" s="71"/>
      <c r="H76" s="71"/>
      <c r="I76" s="71"/>
      <c r="J76" s="71"/>
    </row>
    <row r="77" spans="1:10">
      <c r="A77" s="71"/>
      <c r="B77" s="72"/>
      <c r="C77" s="71"/>
      <c r="D77" s="71"/>
      <c r="E77" s="71"/>
      <c r="F77" s="71"/>
      <c r="G77" s="71"/>
      <c r="H77" s="71"/>
      <c r="I77" s="71"/>
      <c r="J77" s="71"/>
    </row>
    <row r="78" spans="1:10">
      <c r="A78" s="71"/>
      <c r="B78" s="72"/>
      <c r="C78" s="71"/>
      <c r="D78" s="71"/>
      <c r="E78" s="71"/>
      <c r="F78" s="71"/>
      <c r="G78" s="71"/>
      <c r="H78" s="71"/>
      <c r="I78" s="71"/>
      <c r="J78" s="71"/>
    </row>
    <row r="79" spans="1:10">
      <c r="A79" s="71"/>
      <c r="B79" s="72"/>
      <c r="C79" s="71"/>
      <c r="D79" s="71"/>
      <c r="E79" s="71"/>
      <c r="F79" s="71"/>
      <c r="G79" s="71"/>
      <c r="H79" s="71"/>
      <c r="I79" s="71"/>
      <c r="J79" s="71"/>
    </row>
    <row r="80" spans="1:10">
      <c r="A80" s="71"/>
      <c r="B80" s="72"/>
      <c r="C80" s="71"/>
      <c r="D80" s="71"/>
      <c r="E80" s="71"/>
      <c r="F80" s="71"/>
      <c r="G80" s="71"/>
      <c r="H80" s="71"/>
      <c r="I80" s="71"/>
      <c r="J80" s="71"/>
    </row>
    <row r="81" spans="1:10">
      <c r="A81" s="71"/>
      <c r="B81" s="72"/>
      <c r="C81" s="71"/>
      <c r="D81" s="71"/>
      <c r="E81" s="71"/>
      <c r="F81" s="71"/>
      <c r="G81" s="71"/>
      <c r="H81" s="71"/>
      <c r="I81" s="71"/>
      <c r="J81" s="71"/>
    </row>
    <row r="82" spans="1:10">
      <c r="A82" s="71"/>
      <c r="B82" s="72"/>
      <c r="C82" s="71"/>
      <c r="D82" s="71"/>
      <c r="E82" s="71"/>
      <c r="F82" s="71"/>
      <c r="G82" s="71"/>
      <c r="H82" s="71"/>
      <c r="I82" s="71"/>
      <c r="J82" s="71"/>
    </row>
    <row r="83" spans="1:10">
      <c r="A83" s="71"/>
      <c r="B83" s="72"/>
      <c r="C83" s="71"/>
      <c r="D83" s="71"/>
      <c r="E83" s="71"/>
      <c r="F83" s="71"/>
      <c r="G83" s="71"/>
      <c r="H83" s="71"/>
      <c r="I83" s="71"/>
      <c r="J83" s="71"/>
    </row>
    <row r="84" spans="1:10">
      <c r="A84" s="71"/>
      <c r="B84" s="72"/>
      <c r="C84" s="71"/>
      <c r="D84" s="71"/>
      <c r="E84" s="71"/>
      <c r="F84" s="71"/>
      <c r="G84" s="71"/>
      <c r="H84" s="71"/>
      <c r="I84" s="71"/>
      <c r="J84" s="71"/>
    </row>
    <row r="85" spans="1:10">
      <c r="A85" s="71"/>
      <c r="B85" s="72"/>
      <c r="C85" s="71"/>
      <c r="D85" s="71"/>
      <c r="E85" s="71"/>
      <c r="F85" s="71"/>
      <c r="G85" s="71"/>
      <c r="H85" s="71"/>
      <c r="I85" s="71"/>
      <c r="J85" s="71"/>
    </row>
    <row r="86" spans="1:10">
      <c r="A86" s="71"/>
      <c r="B86" s="72"/>
      <c r="C86" s="71"/>
      <c r="D86" s="71"/>
      <c r="E86" s="71"/>
      <c r="F86" s="71"/>
      <c r="G86" s="71"/>
      <c r="H86" s="71"/>
      <c r="I86" s="71"/>
      <c r="J86" s="71"/>
    </row>
    <row r="87" spans="1:10">
      <c r="A87" s="71"/>
      <c r="B87" s="72"/>
      <c r="C87" s="71"/>
      <c r="D87" s="71"/>
      <c r="E87" s="71"/>
      <c r="F87" s="71"/>
      <c r="G87" s="71"/>
      <c r="H87" s="71"/>
      <c r="I87" s="71"/>
      <c r="J87" s="71"/>
    </row>
    <row r="88" spans="1:10">
      <c r="A88" s="71"/>
      <c r="B88" s="72"/>
      <c r="C88" s="71"/>
      <c r="D88" s="71"/>
      <c r="E88" s="71"/>
      <c r="F88" s="71"/>
      <c r="G88" s="71"/>
      <c r="H88" s="71"/>
      <c r="I88" s="71"/>
      <c r="J88" s="71"/>
    </row>
    <row r="89" spans="1:10">
      <c r="A89" s="71"/>
      <c r="B89" s="72"/>
      <c r="C89" s="71"/>
      <c r="D89" s="71"/>
      <c r="E89" s="71"/>
      <c r="F89" s="71"/>
      <c r="G89" s="71"/>
      <c r="H89" s="71"/>
      <c r="I89" s="71"/>
      <c r="J89" s="71"/>
    </row>
    <row r="90" spans="1:10">
      <c r="A90" s="71"/>
      <c r="B90" s="72"/>
      <c r="C90" s="71"/>
      <c r="D90" s="71"/>
      <c r="E90" s="71"/>
      <c r="F90" s="71"/>
      <c r="G90" s="71"/>
      <c r="H90" s="71"/>
      <c r="I90" s="71"/>
      <c r="J90" s="71"/>
    </row>
    <row r="91" spans="1:10">
      <c r="A91" s="71"/>
      <c r="B91" s="72"/>
      <c r="C91" s="71"/>
      <c r="D91" s="71"/>
      <c r="E91" s="71"/>
      <c r="F91" s="71"/>
      <c r="G91" s="71"/>
      <c r="H91" s="71"/>
      <c r="I91" s="71"/>
      <c r="J91" s="71"/>
    </row>
    <row r="92" spans="1:10">
      <c r="A92" s="71"/>
      <c r="B92" s="72"/>
      <c r="C92" s="71"/>
      <c r="D92" s="71"/>
      <c r="E92" s="71"/>
      <c r="F92" s="71"/>
      <c r="G92" s="71"/>
      <c r="H92" s="71"/>
      <c r="I92" s="71"/>
      <c r="J92" s="71"/>
    </row>
    <row r="93" spans="1:10">
      <c r="A93" s="71"/>
      <c r="B93" s="72"/>
      <c r="C93" s="71"/>
      <c r="D93" s="71"/>
      <c r="E93" s="71"/>
      <c r="F93" s="71"/>
      <c r="G93" s="71"/>
      <c r="H93" s="71"/>
      <c r="I93" s="71"/>
      <c r="J93" s="71"/>
    </row>
    <row r="94" spans="1:10">
      <c r="A94" s="71"/>
      <c r="B94" s="72"/>
      <c r="C94" s="71"/>
      <c r="D94" s="71"/>
      <c r="E94" s="71"/>
      <c r="F94" s="71"/>
      <c r="G94" s="71"/>
      <c r="H94" s="71"/>
      <c r="I94" s="71"/>
      <c r="J94" s="71"/>
    </row>
    <row r="95" spans="1:10">
      <c r="A95" s="71"/>
      <c r="B95" s="72"/>
      <c r="C95" s="71"/>
      <c r="D95" s="71"/>
      <c r="E95" s="71"/>
      <c r="F95" s="71"/>
      <c r="G95" s="71"/>
      <c r="H95" s="71"/>
      <c r="I95" s="71"/>
      <c r="J95" s="71"/>
    </row>
    <row r="96" spans="1:10">
      <c r="A96" s="71"/>
      <c r="B96" s="72"/>
      <c r="C96" s="71"/>
      <c r="D96" s="71"/>
      <c r="E96" s="71"/>
      <c r="F96" s="71"/>
      <c r="G96" s="71"/>
      <c r="H96" s="71"/>
      <c r="I96" s="71"/>
      <c r="J96" s="71"/>
    </row>
    <row r="97" spans="1:10">
      <c r="A97" s="71"/>
      <c r="B97" s="72"/>
      <c r="C97" s="71"/>
      <c r="D97" s="71"/>
      <c r="E97" s="71"/>
      <c r="F97" s="71"/>
      <c r="G97" s="71"/>
      <c r="H97" s="71"/>
      <c r="I97" s="71"/>
      <c r="J97" s="71"/>
    </row>
    <row r="98" spans="1:10">
      <c r="A98" s="71"/>
      <c r="B98" s="72"/>
      <c r="C98" s="71"/>
      <c r="D98" s="71"/>
      <c r="E98" s="71"/>
      <c r="F98" s="71"/>
      <c r="G98" s="71"/>
      <c r="H98" s="71"/>
      <c r="I98" s="71"/>
      <c r="J98" s="71"/>
    </row>
    <row r="99" spans="1:10">
      <c r="A99" s="71"/>
      <c r="B99" s="72"/>
      <c r="C99" s="71"/>
      <c r="D99" s="71"/>
      <c r="E99" s="71"/>
      <c r="F99" s="71"/>
      <c r="G99" s="71"/>
      <c r="H99" s="71"/>
      <c r="I99" s="71"/>
      <c r="J99" s="71"/>
    </row>
    <row r="100" spans="1:10">
      <c r="A100" s="71"/>
      <c r="B100" s="72"/>
      <c r="C100" s="71"/>
      <c r="D100" s="71"/>
      <c r="E100" s="71"/>
      <c r="F100" s="71"/>
      <c r="G100" s="71"/>
      <c r="H100" s="71"/>
      <c r="I100" s="71"/>
      <c r="J100" s="71"/>
    </row>
    <row r="101" spans="1:10">
      <c r="A101" s="71"/>
      <c r="B101" s="72"/>
      <c r="C101" s="71"/>
      <c r="D101" s="71"/>
      <c r="E101" s="71"/>
      <c r="F101" s="71"/>
      <c r="G101" s="71"/>
      <c r="H101" s="71"/>
      <c r="I101" s="71"/>
      <c r="J101" s="71"/>
    </row>
    <row r="102" spans="1:10">
      <c r="A102" s="71"/>
      <c r="B102" s="72"/>
      <c r="C102" s="71"/>
      <c r="D102" s="71"/>
      <c r="E102" s="71"/>
      <c r="F102" s="71"/>
      <c r="G102" s="71"/>
      <c r="H102" s="71"/>
      <c r="I102" s="71"/>
      <c r="J102" s="71"/>
    </row>
    <row r="103" spans="1:10">
      <c r="A103" s="71"/>
      <c r="B103" s="72"/>
      <c r="C103" s="71"/>
      <c r="D103" s="71"/>
      <c r="E103" s="71"/>
      <c r="F103" s="71"/>
      <c r="G103" s="71"/>
      <c r="H103" s="71"/>
      <c r="I103" s="71"/>
      <c r="J103" s="71"/>
    </row>
    <row r="104" spans="1:10">
      <c r="A104" s="71"/>
      <c r="B104" s="72"/>
      <c r="C104" s="71"/>
      <c r="D104" s="71"/>
      <c r="E104" s="71"/>
      <c r="F104" s="71"/>
      <c r="G104" s="71"/>
      <c r="H104" s="71"/>
      <c r="I104" s="71"/>
      <c r="J104" s="71"/>
    </row>
    <row r="105" spans="1:10">
      <c r="A105" s="71"/>
      <c r="B105" s="72"/>
      <c r="C105" s="71"/>
      <c r="D105" s="71"/>
      <c r="E105" s="71"/>
      <c r="F105" s="71"/>
      <c r="G105" s="71"/>
      <c r="H105" s="71"/>
      <c r="I105" s="71"/>
      <c r="J105" s="71"/>
    </row>
    <row r="106" spans="1:10">
      <c r="A106" s="71"/>
      <c r="B106" s="72"/>
      <c r="C106" s="71"/>
      <c r="D106" s="71"/>
      <c r="E106" s="71"/>
      <c r="F106" s="71"/>
      <c r="G106" s="71"/>
      <c r="H106" s="71"/>
      <c r="I106" s="71"/>
      <c r="J106" s="71"/>
    </row>
    <row r="107" spans="1:10">
      <c r="A107" s="71"/>
      <c r="B107" s="72"/>
      <c r="C107" s="71"/>
      <c r="D107" s="71"/>
      <c r="E107" s="71"/>
      <c r="F107" s="71"/>
      <c r="G107" s="71"/>
      <c r="H107" s="71"/>
      <c r="I107" s="71"/>
      <c r="J107" s="71"/>
    </row>
    <row r="108" spans="1:10">
      <c r="A108" s="71"/>
      <c r="B108" s="72"/>
      <c r="C108" s="71"/>
      <c r="D108" s="71"/>
      <c r="E108" s="71"/>
      <c r="F108" s="71"/>
      <c r="G108" s="71"/>
      <c r="H108" s="71"/>
      <c r="I108" s="71"/>
      <c r="J108" s="71"/>
    </row>
    <row r="109" spans="1:10">
      <c r="A109" s="71"/>
      <c r="B109" s="72"/>
      <c r="C109" s="71"/>
      <c r="D109" s="71"/>
      <c r="E109" s="71"/>
      <c r="F109" s="71"/>
      <c r="G109" s="71"/>
      <c r="H109" s="71"/>
      <c r="I109" s="71"/>
      <c r="J109" s="71"/>
    </row>
    <row r="110" spans="1:10">
      <c r="A110" s="71"/>
      <c r="B110" s="72"/>
      <c r="C110" s="71"/>
      <c r="D110" s="71"/>
      <c r="E110" s="71"/>
      <c r="F110" s="71"/>
      <c r="G110" s="71"/>
      <c r="H110" s="71"/>
      <c r="I110" s="71"/>
      <c r="J110" s="71"/>
    </row>
    <row r="111" spans="1:10">
      <c r="A111" s="71"/>
      <c r="B111" s="72"/>
      <c r="C111" s="71"/>
      <c r="D111" s="71"/>
      <c r="E111" s="71"/>
      <c r="F111" s="71"/>
      <c r="G111" s="71"/>
      <c r="H111" s="71"/>
      <c r="I111" s="71"/>
      <c r="J111" s="71"/>
    </row>
    <row r="112" spans="1:10">
      <c r="A112" s="71"/>
      <c r="B112" s="72"/>
      <c r="C112" s="71"/>
      <c r="D112" s="71"/>
      <c r="E112" s="71"/>
      <c r="F112" s="71"/>
      <c r="G112" s="71"/>
      <c r="H112" s="71"/>
      <c r="I112" s="71"/>
      <c r="J112" s="71"/>
    </row>
    <row r="113" spans="1:10">
      <c r="A113" s="71"/>
      <c r="B113" s="72"/>
      <c r="C113" s="71"/>
      <c r="D113" s="71"/>
      <c r="E113" s="71"/>
      <c r="F113" s="71"/>
      <c r="G113" s="71"/>
      <c r="H113" s="71"/>
      <c r="I113" s="71"/>
      <c r="J113" s="71"/>
    </row>
    <row r="114" spans="1:10">
      <c r="A114" s="71"/>
      <c r="B114" s="72"/>
      <c r="C114" s="71"/>
      <c r="D114" s="71"/>
      <c r="E114" s="71"/>
      <c r="F114" s="71"/>
      <c r="G114" s="71"/>
      <c r="H114" s="71"/>
      <c r="I114" s="71"/>
      <c r="J114" s="71"/>
    </row>
    <row r="115" spans="1:10">
      <c r="A115" s="71"/>
      <c r="B115" s="72"/>
      <c r="C115" s="71"/>
      <c r="D115" s="71"/>
      <c r="E115" s="71"/>
      <c r="F115" s="71"/>
      <c r="G115" s="71"/>
      <c r="H115" s="71"/>
      <c r="I115" s="71"/>
      <c r="J115" s="71"/>
    </row>
    <row r="116" spans="1:10">
      <c r="A116" s="71"/>
      <c r="B116" s="72"/>
      <c r="C116" s="71"/>
      <c r="D116" s="71"/>
      <c r="E116" s="71"/>
      <c r="F116" s="71"/>
      <c r="G116" s="71"/>
      <c r="H116" s="71"/>
      <c r="I116" s="71"/>
      <c r="J116" s="71"/>
    </row>
    <row r="117" spans="1:10">
      <c r="A117" s="71"/>
      <c r="B117" s="72"/>
      <c r="C117" s="71"/>
      <c r="D117" s="71"/>
      <c r="E117" s="71"/>
      <c r="F117" s="71"/>
      <c r="G117" s="71"/>
      <c r="H117" s="71"/>
      <c r="I117" s="71"/>
      <c r="J117" s="71"/>
    </row>
    <row r="118" spans="1:10">
      <c r="A118" s="71"/>
      <c r="B118" s="72"/>
      <c r="C118" s="71"/>
      <c r="D118" s="71"/>
      <c r="E118" s="71"/>
      <c r="F118" s="71"/>
      <c r="G118" s="71"/>
      <c r="H118" s="71"/>
      <c r="I118" s="71"/>
      <c r="J118" s="71"/>
    </row>
    <row r="119" spans="1:10">
      <c r="A119" s="71"/>
      <c r="B119" s="72"/>
      <c r="C119" s="71"/>
      <c r="D119" s="71"/>
      <c r="E119" s="71"/>
      <c r="F119" s="71"/>
      <c r="G119" s="71"/>
      <c r="H119" s="71"/>
      <c r="I119" s="71"/>
      <c r="J119" s="71"/>
    </row>
    <row r="120" spans="1:10">
      <c r="A120" s="71"/>
      <c r="B120" s="72"/>
      <c r="C120" s="71"/>
      <c r="D120" s="71"/>
      <c r="E120" s="71"/>
      <c r="F120" s="71"/>
      <c r="G120" s="71"/>
      <c r="H120" s="71"/>
      <c r="I120" s="71"/>
      <c r="J120" s="71"/>
    </row>
    <row r="121" spans="1:10">
      <c r="A121" s="71"/>
      <c r="B121" s="72"/>
      <c r="C121" s="71"/>
      <c r="D121" s="71"/>
      <c r="E121" s="71"/>
      <c r="F121" s="71"/>
      <c r="G121" s="71"/>
      <c r="H121" s="71"/>
      <c r="I121" s="71"/>
      <c r="J121" s="71"/>
    </row>
    <row r="122" spans="1:10">
      <c r="A122" s="71"/>
      <c r="B122" s="72"/>
      <c r="C122" s="71"/>
      <c r="D122" s="71"/>
      <c r="E122" s="71"/>
      <c r="F122" s="71"/>
      <c r="G122" s="71"/>
      <c r="H122" s="71"/>
      <c r="I122" s="71"/>
      <c r="J122" s="71"/>
    </row>
    <row r="123" spans="1:10">
      <c r="A123" s="71"/>
      <c r="B123" s="72"/>
      <c r="C123" s="71"/>
      <c r="D123" s="71"/>
      <c r="E123" s="71"/>
      <c r="F123" s="71"/>
      <c r="G123" s="71"/>
      <c r="H123" s="71"/>
      <c r="I123" s="71"/>
      <c r="J123" s="71"/>
    </row>
    <row r="124" spans="1:10">
      <c r="A124" s="71"/>
      <c r="B124" s="72"/>
      <c r="C124" s="71"/>
      <c r="D124" s="71"/>
      <c r="E124" s="71"/>
      <c r="F124" s="71"/>
      <c r="G124" s="71"/>
      <c r="H124" s="71"/>
      <c r="I124" s="71"/>
      <c r="J124" s="71"/>
    </row>
    <row r="125" spans="1:10">
      <c r="A125" s="71"/>
      <c r="B125" s="72"/>
      <c r="C125" s="71"/>
      <c r="D125" s="71"/>
      <c r="E125" s="71"/>
      <c r="F125" s="71"/>
      <c r="G125" s="71"/>
      <c r="H125" s="71"/>
      <c r="I125" s="71"/>
      <c r="J125" s="71"/>
    </row>
    <row r="126" spans="1:10">
      <c r="A126" s="71"/>
      <c r="B126" s="72"/>
      <c r="C126" s="71"/>
      <c r="D126" s="71"/>
      <c r="E126" s="71"/>
      <c r="F126" s="71"/>
      <c r="G126" s="71"/>
      <c r="H126" s="71"/>
      <c r="I126" s="71"/>
      <c r="J126" s="71"/>
    </row>
    <row r="127" spans="1:10">
      <c r="A127" s="71"/>
      <c r="B127" s="72"/>
      <c r="C127" s="71"/>
      <c r="D127" s="71"/>
      <c r="E127" s="71"/>
      <c r="F127" s="71"/>
      <c r="G127" s="71"/>
      <c r="H127" s="71"/>
      <c r="I127" s="71"/>
      <c r="J127" s="71"/>
    </row>
    <row r="128" spans="1:10">
      <c r="A128" s="71"/>
      <c r="B128" s="72"/>
      <c r="C128" s="71"/>
      <c r="D128" s="71"/>
      <c r="E128" s="71"/>
      <c r="F128" s="71"/>
      <c r="G128" s="71"/>
      <c r="H128" s="71"/>
      <c r="I128" s="71"/>
      <c r="J128" s="71"/>
    </row>
    <row r="129" spans="1:10">
      <c r="A129" s="71"/>
      <c r="B129" s="72"/>
      <c r="C129" s="71"/>
      <c r="D129" s="71"/>
      <c r="E129" s="71"/>
      <c r="F129" s="71"/>
      <c r="G129" s="71"/>
      <c r="H129" s="71"/>
      <c r="I129" s="71"/>
      <c r="J129" s="71"/>
    </row>
    <row r="130" spans="1:10">
      <c r="A130" s="71"/>
      <c r="B130" s="72"/>
      <c r="C130" s="71"/>
      <c r="D130" s="71"/>
      <c r="E130" s="71"/>
      <c r="F130" s="71"/>
      <c r="G130" s="71"/>
      <c r="H130" s="71"/>
      <c r="I130" s="71"/>
      <c r="J130" s="71"/>
    </row>
    <row r="131" spans="1:10">
      <c r="A131" s="71"/>
      <c r="B131" s="72"/>
      <c r="C131" s="71"/>
      <c r="D131" s="71"/>
      <c r="E131" s="71"/>
      <c r="F131" s="71"/>
      <c r="G131" s="71"/>
      <c r="H131" s="71"/>
      <c r="I131" s="71"/>
      <c r="J131" s="71"/>
    </row>
    <row r="132" spans="1:10">
      <c r="A132" s="71"/>
      <c r="B132" s="72"/>
      <c r="C132" s="71"/>
      <c r="D132" s="71"/>
      <c r="E132" s="71"/>
      <c r="F132" s="71"/>
      <c r="G132" s="71"/>
      <c r="H132" s="71"/>
      <c r="I132" s="71"/>
      <c r="J132" s="71"/>
    </row>
    <row r="133" spans="1:10">
      <c r="A133" s="71"/>
      <c r="B133" s="72"/>
      <c r="C133" s="71"/>
      <c r="D133" s="71"/>
      <c r="E133" s="71"/>
      <c r="F133" s="71"/>
      <c r="G133" s="71"/>
      <c r="H133" s="71"/>
      <c r="I133" s="71"/>
      <c r="J133" s="71"/>
    </row>
    <row r="134" spans="1:10">
      <c r="A134" s="71"/>
      <c r="B134" s="72"/>
      <c r="C134" s="71"/>
      <c r="D134" s="71"/>
      <c r="E134" s="71"/>
      <c r="F134" s="71"/>
      <c r="G134" s="71"/>
      <c r="H134" s="71"/>
      <c r="I134" s="71"/>
      <c r="J134" s="71"/>
    </row>
    <row r="135" spans="1:10">
      <c r="A135" s="71"/>
      <c r="B135" s="72"/>
      <c r="C135" s="71"/>
      <c r="D135" s="71"/>
      <c r="E135" s="71"/>
      <c r="F135" s="71"/>
      <c r="G135" s="71"/>
      <c r="H135" s="71"/>
      <c r="I135" s="71"/>
      <c r="J135" s="71"/>
    </row>
    <row r="136" spans="1:10">
      <c r="A136" s="71"/>
      <c r="B136" s="72"/>
      <c r="C136" s="71"/>
      <c r="D136" s="71"/>
      <c r="E136" s="71"/>
      <c r="F136" s="71"/>
      <c r="G136" s="71"/>
      <c r="H136" s="71"/>
      <c r="I136" s="71"/>
      <c r="J136" s="71"/>
    </row>
    <row r="137" spans="1:10">
      <c r="A137" s="71"/>
      <c r="B137" s="72"/>
      <c r="C137" s="71"/>
      <c r="D137" s="71"/>
      <c r="E137" s="71"/>
      <c r="F137" s="71"/>
      <c r="G137" s="71"/>
      <c r="H137" s="71"/>
      <c r="I137" s="71"/>
      <c r="J137" s="71"/>
    </row>
    <row r="138" spans="1:10">
      <c r="A138" s="71"/>
      <c r="B138" s="72"/>
      <c r="C138" s="71"/>
      <c r="D138" s="71"/>
      <c r="E138" s="71"/>
      <c r="F138" s="71"/>
      <c r="G138" s="71"/>
      <c r="H138" s="71"/>
      <c r="I138" s="71"/>
      <c r="J138" s="71"/>
    </row>
    <row r="139" spans="1:10">
      <c r="A139" s="71"/>
      <c r="B139" s="72"/>
      <c r="C139" s="71"/>
      <c r="D139" s="71"/>
      <c r="E139" s="71"/>
      <c r="F139" s="71"/>
      <c r="G139" s="71"/>
      <c r="H139" s="71"/>
      <c r="I139" s="71"/>
      <c r="J139" s="71"/>
    </row>
    <row r="140" spans="1:10">
      <c r="A140" s="71"/>
      <c r="B140" s="72"/>
      <c r="C140" s="71"/>
      <c r="D140" s="71"/>
      <c r="E140" s="71"/>
      <c r="F140" s="71"/>
      <c r="G140" s="71"/>
      <c r="H140" s="71"/>
      <c r="I140" s="71"/>
      <c r="J140" s="71"/>
    </row>
    <row r="141" spans="1:10">
      <c r="A141" s="71"/>
      <c r="B141" s="72"/>
      <c r="C141" s="71"/>
      <c r="D141" s="71"/>
      <c r="E141" s="71"/>
      <c r="F141" s="71"/>
      <c r="G141" s="71"/>
      <c r="H141" s="71"/>
      <c r="I141" s="71"/>
      <c r="J141" s="71"/>
    </row>
    <row r="142" spans="1:10">
      <c r="A142" s="71"/>
      <c r="B142" s="72"/>
      <c r="C142" s="71"/>
      <c r="D142" s="71"/>
      <c r="E142" s="71"/>
      <c r="F142" s="71"/>
      <c r="G142" s="71"/>
      <c r="H142" s="71"/>
      <c r="I142" s="71"/>
      <c r="J142" s="71"/>
    </row>
    <row r="143" spans="1:10">
      <c r="A143" s="71"/>
      <c r="B143" s="72"/>
      <c r="C143" s="71"/>
      <c r="D143" s="71"/>
      <c r="E143" s="71"/>
      <c r="F143" s="71"/>
      <c r="G143" s="71"/>
      <c r="H143" s="71"/>
      <c r="I143" s="71"/>
      <c r="J143" s="71"/>
    </row>
    <row r="144" spans="1:10">
      <c r="A144" s="71"/>
      <c r="B144" s="72"/>
      <c r="C144" s="71"/>
      <c r="D144" s="71"/>
      <c r="E144" s="71"/>
      <c r="F144" s="71"/>
      <c r="G144" s="71"/>
      <c r="H144" s="71"/>
      <c r="I144" s="71"/>
      <c r="J144" s="71"/>
    </row>
    <row r="145" spans="1:10">
      <c r="A145" s="71"/>
      <c r="B145" s="72"/>
      <c r="C145" s="71"/>
      <c r="D145" s="71"/>
      <c r="E145" s="71"/>
      <c r="F145" s="71"/>
      <c r="G145" s="71"/>
      <c r="H145" s="71"/>
      <c r="I145" s="71"/>
      <c r="J145" s="71"/>
    </row>
    <row r="146" spans="1:10">
      <c r="A146" s="71"/>
      <c r="B146" s="72"/>
      <c r="C146" s="71"/>
      <c r="D146" s="71"/>
      <c r="E146" s="71"/>
      <c r="F146" s="71"/>
      <c r="G146" s="71"/>
      <c r="H146" s="71"/>
      <c r="I146" s="71"/>
      <c r="J146" s="71"/>
    </row>
    <row r="147" spans="1:10">
      <c r="A147" s="71"/>
      <c r="B147" s="72"/>
      <c r="C147" s="71"/>
      <c r="D147" s="71"/>
      <c r="E147" s="71"/>
      <c r="F147" s="71"/>
      <c r="G147" s="71"/>
      <c r="H147" s="71"/>
      <c r="I147" s="71"/>
      <c r="J147" s="71"/>
    </row>
    <row r="148" spans="1:10">
      <c r="A148" s="71"/>
      <c r="B148" s="72"/>
      <c r="C148" s="71"/>
      <c r="D148" s="71"/>
      <c r="E148" s="71"/>
      <c r="F148" s="71"/>
      <c r="G148" s="71"/>
      <c r="H148" s="71"/>
      <c r="I148" s="71"/>
      <c r="J148" s="71"/>
    </row>
    <row r="149" spans="1:10">
      <c r="A149" s="71"/>
      <c r="B149" s="72"/>
      <c r="C149" s="71"/>
      <c r="D149" s="71"/>
      <c r="E149" s="71"/>
      <c r="F149" s="71"/>
      <c r="G149" s="71"/>
      <c r="H149" s="71"/>
      <c r="I149" s="71"/>
      <c r="J149" s="71"/>
    </row>
    <row r="150" spans="1:10">
      <c r="A150" s="71"/>
      <c r="B150" s="72"/>
      <c r="C150" s="71"/>
      <c r="D150" s="71"/>
      <c r="E150" s="71"/>
      <c r="F150" s="71"/>
      <c r="G150" s="71"/>
      <c r="H150" s="71"/>
      <c r="I150" s="71"/>
      <c r="J150" s="71"/>
    </row>
    <row r="151" spans="1:10">
      <c r="A151" s="71"/>
      <c r="B151" s="72"/>
      <c r="C151" s="71"/>
      <c r="D151" s="71"/>
      <c r="E151" s="71"/>
      <c r="F151" s="71"/>
      <c r="G151" s="71"/>
      <c r="H151" s="71"/>
      <c r="I151" s="71"/>
      <c r="J151" s="71"/>
    </row>
    <row r="152" spans="1:10">
      <c r="A152" s="71"/>
      <c r="B152" s="72"/>
      <c r="C152" s="71"/>
      <c r="D152" s="71"/>
      <c r="E152" s="71"/>
      <c r="F152" s="71"/>
      <c r="G152" s="71"/>
      <c r="H152" s="71"/>
      <c r="I152" s="71"/>
      <c r="J152" s="71"/>
    </row>
    <row r="153" spans="1:10">
      <c r="A153" s="71"/>
      <c r="B153" s="72"/>
      <c r="C153" s="71"/>
      <c r="D153" s="71"/>
      <c r="E153" s="71"/>
      <c r="F153" s="71"/>
      <c r="G153" s="71"/>
      <c r="H153" s="71"/>
      <c r="I153" s="71"/>
      <c r="J153" s="71"/>
    </row>
    <row r="154" spans="1:10">
      <c r="A154" s="71"/>
      <c r="B154" s="72"/>
      <c r="C154" s="71"/>
      <c r="D154" s="71"/>
      <c r="E154" s="71"/>
      <c r="F154" s="71"/>
      <c r="G154" s="71"/>
      <c r="H154" s="76"/>
      <c r="I154" s="76"/>
      <c r="J154" s="76"/>
    </row>
    <row r="155" spans="1:10">
      <c r="A155" s="71"/>
      <c r="B155" s="72"/>
      <c r="C155" s="71"/>
      <c r="D155" s="71"/>
      <c r="E155" s="71"/>
      <c r="F155" s="71"/>
      <c r="G155" s="71"/>
      <c r="H155" s="76"/>
      <c r="I155" s="76"/>
      <c r="J155" s="76"/>
    </row>
    <row r="156" spans="1:10">
      <c r="A156" s="71"/>
      <c r="B156" s="72"/>
      <c r="C156" s="71"/>
      <c r="D156" s="71"/>
      <c r="E156" s="71"/>
      <c r="F156" s="71"/>
      <c r="G156" s="71"/>
      <c r="H156" s="76"/>
      <c r="I156" s="76"/>
      <c r="J156" s="76"/>
    </row>
    <row r="157" spans="1:10">
      <c r="A157" s="71"/>
      <c r="B157" s="72"/>
      <c r="C157" s="71"/>
      <c r="D157" s="71"/>
      <c r="E157" s="71"/>
      <c r="F157" s="71"/>
      <c r="G157" s="71"/>
      <c r="H157" s="76"/>
      <c r="I157" s="76"/>
      <c r="J157" s="76"/>
    </row>
    <row r="158" spans="1:10">
      <c r="A158" s="71"/>
      <c r="B158" s="72"/>
      <c r="C158" s="71"/>
      <c r="D158" s="71"/>
      <c r="E158" s="71"/>
      <c r="F158" s="71"/>
      <c r="G158" s="71"/>
      <c r="H158" s="71"/>
      <c r="I158" s="71"/>
      <c r="J158" s="71"/>
    </row>
    <row r="159" spans="1:10">
      <c r="A159" s="71"/>
      <c r="B159" s="72"/>
      <c r="C159" s="71"/>
      <c r="D159" s="71"/>
      <c r="E159" s="71"/>
      <c r="F159" s="71"/>
      <c r="G159" s="71"/>
      <c r="H159" s="71"/>
      <c r="I159" s="71"/>
      <c r="J159" s="71"/>
    </row>
    <row r="160" spans="1:10">
      <c r="A160" s="71"/>
      <c r="B160" s="72"/>
      <c r="C160" s="71"/>
      <c r="D160" s="71"/>
      <c r="E160" s="71"/>
      <c r="F160" s="71"/>
      <c r="G160" s="71"/>
      <c r="H160" s="71"/>
      <c r="I160" s="71"/>
      <c r="J160" s="71"/>
    </row>
    <row r="161" spans="1:10">
      <c r="A161" s="71"/>
      <c r="B161" s="72"/>
      <c r="C161" s="71"/>
      <c r="D161" s="71"/>
      <c r="E161" s="71"/>
      <c r="F161" s="71"/>
      <c r="G161" s="71"/>
      <c r="H161" s="71"/>
      <c r="I161" s="71"/>
      <c r="J161" s="71"/>
    </row>
    <row r="162" spans="1:10">
      <c r="A162" s="71"/>
      <c r="B162" s="72"/>
      <c r="C162" s="71"/>
      <c r="D162" s="71"/>
      <c r="E162" s="71"/>
      <c r="F162" s="71"/>
      <c r="G162" s="71"/>
      <c r="H162" s="71"/>
      <c r="I162" s="71"/>
      <c r="J162" s="71"/>
    </row>
    <row r="163" spans="1:10">
      <c r="A163" s="71"/>
      <c r="B163" s="72"/>
      <c r="C163" s="71"/>
      <c r="D163" s="71"/>
      <c r="E163" s="71"/>
      <c r="F163" s="71"/>
      <c r="G163" s="71"/>
      <c r="H163" s="71"/>
      <c r="I163" s="71"/>
      <c r="J163" s="71"/>
    </row>
    <row r="164" spans="1:10">
      <c r="A164" s="71"/>
      <c r="B164" s="72"/>
      <c r="C164" s="71"/>
      <c r="D164" s="71"/>
      <c r="E164" s="71"/>
      <c r="F164" s="71"/>
      <c r="G164" s="71"/>
      <c r="H164" s="71"/>
      <c r="I164" s="71"/>
      <c r="J164" s="71"/>
    </row>
    <row r="165" spans="1:10">
      <c r="A165" s="71"/>
      <c r="B165" s="72"/>
      <c r="C165" s="71"/>
      <c r="D165" s="71"/>
      <c r="E165" s="71"/>
      <c r="F165" s="71"/>
      <c r="G165" s="71"/>
      <c r="H165" s="71"/>
      <c r="I165" s="71"/>
      <c r="J165" s="71"/>
    </row>
    <row r="166" spans="1:10">
      <c r="A166" s="71"/>
      <c r="B166" s="72"/>
      <c r="C166" s="71"/>
      <c r="D166" s="71"/>
      <c r="E166" s="71"/>
      <c r="F166" s="71"/>
      <c r="G166" s="71"/>
      <c r="H166" s="71"/>
      <c r="I166" s="71"/>
      <c r="J166" s="71"/>
    </row>
    <row r="167" spans="1:10">
      <c r="A167" s="71"/>
      <c r="B167" s="72"/>
      <c r="C167" s="71"/>
      <c r="D167" s="71"/>
      <c r="E167" s="71"/>
      <c r="F167" s="71"/>
      <c r="G167" s="71"/>
      <c r="H167" s="71"/>
      <c r="I167" s="71"/>
      <c r="J167" s="71"/>
    </row>
    <row r="168" spans="1:10">
      <c r="A168" s="71"/>
      <c r="B168" s="72"/>
      <c r="C168" s="71"/>
      <c r="D168" s="71"/>
      <c r="E168" s="71"/>
      <c r="F168" s="71"/>
      <c r="G168" s="71"/>
      <c r="H168" s="71"/>
      <c r="I168" s="71"/>
      <c r="J168" s="71"/>
    </row>
    <row r="169" spans="1:10">
      <c r="A169" s="71"/>
      <c r="B169" s="72"/>
      <c r="C169" s="71"/>
      <c r="D169" s="71"/>
      <c r="E169" s="71"/>
      <c r="F169" s="71"/>
      <c r="G169" s="71"/>
      <c r="H169" s="71"/>
      <c r="I169" s="71"/>
      <c r="J169" s="71"/>
    </row>
    <row r="170" spans="1:10">
      <c r="A170" s="71"/>
      <c r="B170" s="72"/>
      <c r="C170" s="71"/>
      <c r="D170" s="71"/>
      <c r="E170" s="71"/>
      <c r="F170" s="71"/>
      <c r="G170" s="71"/>
      <c r="H170" s="71"/>
      <c r="I170" s="71"/>
      <c r="J170" s="71"/>
    </row>
    <row r="171" spans="1:10">
      <c r="A171" s="71"/>
      <c r="B171" s="72"/>
      <c r="C171" s="71"/>
      <c r="D171" s="71"/>
      <c r="E171" s="71"/>
      <c r="F171" s="71"/>
      <c r="G171" s="71"/>
      <c r="H171" s="71"/>
      <c r="I171" s="71"/>
      <c r="J171" s="71"/>
    </row>
    <row r="172" spans="1:10">
      <c r="A172" s="71"/>
      <c r="B172" s="72"/>
      <c r="C172" s="71"/>
      <c r="D172" s="71"/>
      <c r="E172" s="71"/>
      <c r="F172" s="71"/>
      <c r="G172" s="71"/>
      <c r="H172" s="71"/>
      <c r="I172" s="71"/>
      <c r="J172" s="71"/>
    </row>
    <row r="173" spans="1:10">
      <c r="A173" s="71"/>
      <c r="B173" s="72"/>
      <c r="C173" s="71"/>
      <c r="D173" s="71"/>
      <c r="E173" s="71"/>
      <c r="F173" s="71"/>
      <c r="G173" s="71"/>
      <c r="H173" s="71"/>
      <c r="I173" s="71"/>
      <c r="J173" s="71"/>
    </row>
    <row r="174" spans="1:10">
      <c r="A174" s="71"/>
      <c r="B174" s="72"/>
      <c r="C174" s="71"/>
      <c r="D174" s="71"/>
      <c r="E174" s="71"/>
      <c r="F174" s="71"/>
      <c r="G174" s="71"/>
      <c r="H174" s="71"/>
      <c r="I174" s="71"/>
      <c r="J174" s="71"/>
    </row>
    <row r="175" spans="1:10">
      <c r="A175" s="71"/>
      <c r="B175" s="72"/>
      <c r="C175" s="71"/>
      <c r="D175" s="71"/>
      <c r="E175" s="71"/>
      <c r="F175" s="71"/>
      <c r="G175" s="71"/>
      <c r="H175" s="71"/>
      <c r="I175" s="71"/>
      <c r="J175" s="71"/>
    </row>
    <row r="176" spans="1:10">
      <c r="A176" s="71"/>
      <c r="B176" s="72"/>
      <c r="C176" s="71"/>
      <c r="D176" s="71"/>
      <c r="E176" s="71"/>
      <c r="F176" s="71"/>
      <c r="G176" s="71"/>
      <c r="H176" s="71"/>
      <c r="I176" s="71"/>
      <c r="J176" s="71"/>
    </row>
    <row r="177" spans="1:10">
      <c r="A177" s="71"/>
      <c r="B177" s="72"/>
      <c r="C177" s="71"/>
      <c r="D177" s="71"/>
      <c r="E177" s="71"/>
      <c r="F177" s="71"/>
      <c r="G177" s="71"/>
      <c r="H177" s="71"/>
      <c r="I177" s="71"/>
      <c r="J177" s="71"/>
    </row>
    <row r="178" spans="1:10">
      <c r="A178" s="71"/>
      <c r="B178" s="72"/>
      <c r="C178" s="71"/>
      <c r="D178" s="71"/>
      <c r="E178" s="71"/>
      <c r="F178" s="71"/>
      <c r="G178" s="71"/>
      <c r="H178" s="71"/>
      <c r="I178" s="71"/>
      <c r="J178" s="71"/>
    </row>
    <row r="179" spans="1:10">
      <c r="A179" s="71"/>
      <c r="B179" s="72"/>
      <c r="C179" s="71"/>
      <c r="D179" s="71"/>
      <c r="E179" s="71"/>
      <c r="F179" s="71"/>
      <c r="G179" s="71"/>
      <c r="H179" s="71"/>
      <c r="I179" s="71"/>
      <c r="J179" s="71"/>
    </row>
    <row r="180" spans="1:10">
      <c r="A180" s="71"/>
      <c r="B180" s="72"/>
      <c r="C180" s="71"/>
      <c r="D180" s="71"/>
      <c r="E180" s="71"/>
      <c r="F180" s="71"/>
      <c r="G180" s="71"/>
      <c r="H180" s="71"/>
      <c r="I180" s="71"/>
      <c r="J180" s="71"/>
    </row>
    <row r="181" spans="1:10">
      <c r="A181" s="71"/>
      <c r="B181" s="72"/>
      <c r="C181" s="71"/>
      <c r="D181" s="71"/>
      <c r="E181" s="71"/>
      <c r="F181" s="71"/>
      <c r="G181" s="71"/>
      <c r="H181" s="71"/>
      <c r="I181" s="71"/>
      <c r="J181" s="71"/>
    </row>
    <row r="182" spans="1:10">
      <c r="A182" s="71"/>
      <c r="B182" s="72"/>
      <c r="C182" s="71"/>
      <c r="D182" s="71"/>
      <c r="E182" s="71"/>
      <c r="F182" s="71"/>
      <c r="G182" s="71"/>
      <c r="H182" s="71"/>
      <c r="I182" s="71"/>
      <c r="J182" s="71"/>
    </row>
    <row r="183" spans="1:10">
      <c r="A183" s="71"/>
      <c r="B183" s="72"/>
      <c r="C183" s="71"/>
      <c r="D183" s="71"/>
      <c r="E183" s="71"/>
      <c r="F183" s="71"/>
      <c r="G183" s="71"/>
      <c r="H183" s="71"/>
      <c r="I183" s="71"/>
      <c r="J183" s="71"/>
    </row>
    <row r="184" spans="1:10">
      <c r="A184" s="71"/>
      <c r="B184" s="72"/>
      <c r="C184" s="71"/>
      <c r="D184" s="71"/>
      <c r="E184" s="71"/>
      <c r="F184" s="71"/>
      <c r="G184" s="71"/>
      <c r="H184" s="71"/>
      <c r="I184" s="71"/>
      <c r="J184" s="71"/>
    </row>
    <row r="185" spans="1:10">
      <c r="A185" s="71"/>
      <c r="B185" s="72"/>
      <c r="C185" s="71"/>
      <c r="D185" s="71"/>
      <c r="E185" s="71"/>
      <c r="F185" s="71"/>
      <c r="G185" s="71"/>
      <c r="H185" s="71"/>
      <c r="I185" s="71"/>
      <c r="J185" s="71"/>
    </row>
    <row r="186" spans="1:10">
      <c r="A186" s="71"/>
      <c r="B186" s="72"/>
      <c r="C186" s="71"/>
      <c r="D186" s="71"/>
      <c r="E186" s="71"/>
      <c r="F186" s="71"/>
      <c r="G186" s="71"/>
      <c r="H186" s="71"/>
      <c r="I186" s="71"/>
      <c r="J186" s="71"/>
    </row>
    <row r="187" spans="1:10">
      <c r="A187" s="71"/>
      <c r="B187" s="72"/>
      <c r="C187" s="71"/>
      <c r="D187" s="71"/>
      <c r="E187" s="71"/>
      <c r="F187" s="71"/>
      <c r="G187" s="71"/>
      <c r="H187" s="71"/>
      <c r="I187" s="71"/>
      <c r="J187" s="71"/>
    </row>
    <row r="188" spans="1:10">
      <c r="A188" s="71"/>
      <c r="B188" s="72"/>
      <c r="C188" s="71"/>
      <c r="D188" s="71"/>
      <c r="E188" s="71"/>
      <c r="F188" s="71"/>
      <c r="G188" s="71"/>
      <c r="H188" s="71"/>
      <c r="I188" s="71"/>
      <c r="J188" s="71"/>
    </row>
    <row r="189" spans="1:10">
      <c r="A189" s="71"/>
      <c r="B189" s="72"/>
      <c r="C189" s="71"/>
      <c r="D189" s="71"/>
      <c r="E189" s="71"/>
      <c r="F189" s="71"/>
      <c r="G189" s="71"/>
      <c r="H189" s="71"/>
      <c r="I189" s="71"/>
      <c r="J189" s="71"/>
    </row>
    <row r="190" spans="1:10">
      <c r="A190" s="71"/>
      <c r="B190" s="72"/>
      <c r="C190" s="71"/>
      <c r="D190" s="71"/>
      <c r="E190" s="71"/>
      <c r="F190" s="71"/>
      <c r="G190" s="71"/>
      <c r="H190" s="71"/>
      <c r="I190" s="71"/>
      <c r="J190" s="71"/>
    </row>
    <row r="191" spans="1:10">
      <c r="A191" s="71"/>
      <c r="B191" s="72"/>
      <c r="C191" s="71"/>
      <c r="D191" s="71"/>
      <c r="E191" s="71"/>
      <c r="F191" s="71"/>
      <c r="G191" s="71"/>
      <c r="H191" s="71"/>
      <c r="I191" s="71"/>
      <c r="J191" s="71"/>
    </row>
    <row r="192" spans="1:10">
      <c r="A192" s="71"/>
      <c r="B192" s="72"/>
      <c r="C192" s="71"/>
      <c r="D192" s="71"/>
      <c r="E192" s="71"/>
      <c r="F192" s="71"/>
      <c r="G192" s="71"/>
      <c r="H192" s="71"/>
      <c r="I192" s="71"/>
      <c r="J192" s="71"/>
    </row>
    <row r="193" spans="1:10">
      <c r="A193" s="71"/>
      <c r="B193" s="72"/>
      <c r="C193" s="71"/>
      <c r="D193" s="71"/>
      <c r="E193" s="71"/>
      <c r="F193" s="71"/>
      <c r="G193" s="71"/>
      <c r="H193" s="71"/>
      <c r="I193" s="71"/>
      <c r="J193" s="71"/>
    </row>
    <row r="194" spans="1:10">
      <c r="A194" s="71"/>
      <c r="B194" s="72"/>
      <c r="C194" s="71"/>
      <c r="D194" s="71"/>
      <c r="E194" s="71"/>
      <c r="F194" s="71"/>
      <c r="G194" s="71"/>
      <c r="H194" s="71"/>
      <c r="I194" s="71"/>
      <c r="J194" s="71"/>
    </row>
    <row r="195" spans="1:10">
      <c r="A195" s="71"/>
      <c r="B195" s="72"/>
      <c r="C195" s="71"/>
      <c r="D195" s="71"/>
      <c r="E195" s="71"/>
      <c r="F195" s="71"/>
      <c r="G195" s="71"/>
      <c r="H195" s="71"/>
      <c r="I195" s="71"/>
      <c r="J195" s="71"/>
    </row>
    <row r="196" spans="1:10">
      <c r="A196" s="71"/>
      <c r="B196" s="72"/>
      <c r="C196" s="71"/>
      <c r="D196" s="71"/>
      <c r="E196" s="71"/>
      <c r="F196" s="71"/>
      <c r="G196" s="71"/>
      <c r="H196" s="71"/>
      <c r="I196" s="71"/>
      <c r="J196" s="71"/>
    </row>
    <row r="197" spans="1:10">
      <c r="A197" s="71"/>
      <c r="B197" s="72"/>
      <c r="C197" s="71"/>
      <c r="D197" s="71"/>
      <c r="E197" s="71"/>
      <c r="F197" s="71"/>
      <c r="G197" s="71"/>
      <c r="H197" s="71"/>
      <c r="I197" s="71"/>
      <c r="J197" s="71"/>
    </row>
    <row r="198" spans="1:10">
      <c r="A198" s="71"/>
      <c r="B198" s="72"/>
      <c r="C198" s="71"/>
      <c r="D198" s="71"/>
      <c r="E198" s="71"/>
      <c r="F198" s="71"/>
      <c r="G198" s="71"/>
      <c r="H198" s="71"/>
      <c r="I198" s="71"/>
      <c r="J198" s="71"/>
    </row>
    <row r="199" spans="1:10">
      <c r="A199" s="71"/>
      <c r="B199" s="72"/>
      <c r="C199" s="71"/>
      <c r="D199" s="71"/>
      <c r="E199" s="71"/>
      <c r="F199" s="71"/>
      <c r="G199" s="71"/>
      <c r="H199" s="71"/>
      <c r="I199" s="71"/>
      <c r="J199" s="71"/>
    </row>
    <row r="200" spans="1:10">
      <c r="A200" s="71"/>
      <c r="B200" s="72"/>
      <c r="C200" s="71"/>
      <c r="D200" s="71"/>
      <c r="E200" s="71"/>
      <c r="F200" s="71"/>
      <c r="G200" s="71"/>
      <c r="H200" s="71"/>
      <c r="I200" s="71"/>
      <c r="J200" s="71"/>
    </row>
    <row r="201" spans="1:10">
      <c r="A201" s="71"/>
      <c r="B201" s="72"/>
      <c r="C201" s="71"/>
      <c r="D201" s="71"/>
      <c r="E201" s="71"/>
      <c r="F201" s="71"/>
      <c r="G201" s="71"/>
      <c r="H201" s="71"/>
      <c r="I201" s="71"/>
      <c r="J201" s="71"/>
    </row>
    <row r="202" spans="1:10">
      <c r="A202" s="71"/>
      <c r="B202" s="72"/>
      <c r="C202" s="71"/>
      <c r="D202" s="71"/>
      <c r="E202" s="71"/>
      <c r="F202" s="71"/>
      <c r="G202" s="71"/>
      <c r="H202" s="71"/>
      <c r="I202" s="71"/>
      <c r="J202" s="71"/>
    </row>
    <row r="203" spans="1:10">
      <c r="A203" s="71"/>
      <c r="B203" s="72"/>
      <c r="C203" s="71"/>
      <c r="D203" s="71"/>
      <c r="E203" s="71"/>
      <c r="F203" s="71"/>
      <c r="G203" s="71"/>
      <c r="H203" s="71"/>
      <c r="I203" s="71"/>
      <c r="J203" s="71"/>
    </row>
    <row r="204" spans="1:10">
      <c r="A204" s="71"/>
      <c r="B204" s="72"/>
      <c r="C204" s="71"/>
      <c r="D204" s="71"/>
      <c r="E204" s="71"/>
      <c r="F204" s="71"/>
      <c r="G204" s="71"/>
      <c r="H204" s="71"/>
      <c r="I204" s="71"/>
      <c r="J204" s="71"/>
    </row>
    <row r="205" spans="1:10">
      <c r="A205" s="71"/>
      <c r="B205" s="72"/>
      <c r="C205" s="71"/>
      <c r="D205" s="71"/>
      <c r="E205" s="71"/>
      <c r="F205" s="71"/>
      <c r="G205" s="71"/>
      <c r="H205" s="71"/>
      <c r="I205" s="71"/>
      <c r="J205" s="71"/>
    </row>
    <row r="206" spans="1:10">
      <c r="A206" s="71"/>
      <c r="B206" s="72"/>
      <c r="C206" s="71"/>
      <c r="D206" s="71"/>
      <c r="E206" s="71"/>
      <c r="F206" s="71"/>
      <c r="G206" s="71"/>
      <c r="H206" s="71"/>
      <c r="I206" s="71"/>
      <c r="J206" s="71"/>
    </row>
    <row r="207" spans="1:10">
      <c r="A207" s="71"/>
      <c r="B207" s="72"/>
      <c r="C207" s="71"/>
      <c r="D207" s="71"/>
      <c r="E207" s="71"/>
      <c r="F207" s="71"/>
      <c r="G207" s="71"/>
      <c r="H207" s="71"/>
      <c r="I207" s="71"/>
      <c r="J207" s="71"/>
    </row>
    <row r="208" spans="1:10">
      <c r="A208" s="71"/>
      <c r="B208" s="72"/>
      <c r="C208" s="71"/>
      <c r="D208" s="71"/>
      <c r="E208" s="71"/>
      <c r="F208" s="71"/>
      <c r="G208" s="71"/>
      <c r="H208" s="71"/>
      <c r="I208" s="71"/>
      <c r="J208" s="71"/>
    </row>
    <row r="209" spans="1:10">
      <c r="A209" s="71"/>
      <c r="B209" s="72"/>
      <c r="C209" s="71"/>
      <c r="D209" s="71"/>
      <c r="E209" s="71"/>
      <c r="F209" s="71"/>
      <c r="G209" s="71"/>
      <c r="H209" s="71"/>
      <c r="I209" s="71"/>
      <c r="J209" s="71"/>
    </row>
    <row r="210" spans="1:10">
      <c r="A210" s="71"/>
      <c r="B210" s="72"/>
      <c r="C210" s="71"/>
      <c r="D210" s="71"/>
      <c r="E210" s="71"/>
      <c r="F210" s="71"/>
      <c r="G210" s="71"/>
      <c r="H210" s="71"/>
      <c r="I210" s="71"/>
      <c r="J210" s="71"/>
    </row>
    <row r="211" spans="1:10">
      <c r="A211" s="71"/>
      <c r="B211" s="72"/>
      <c r="C211" s="71"/>
      <c r="D211" s="71"/>
      <c r="E211" s="71"/>
      <c r="F211" s="71"/>
      <c r="G211" s="71"/>
      <c r="H211" s="71"/>
      <c r="I211" s="71"/>
      <c r="J211" s="71"/>
    </row>
    <row r="212" spans="1:10">
      <c r="A212" s="71"/>
      <c r="B212" s="72"/>
      <c r="C212" s="71"/>
      <c r="D212" s="71"/>
      <c r="E212" s="71"/>
      <c r="F212" s="71"/>
      <c r="G212" s="71"/>
      <c r="H212" s="71"/>
      <c r="I212" s="71"/>
      <c r="J212" s="71"/>
    </row>
    <row r="213" spans="1:10">
      <c r="A213" s="71"/>
      <c r="B213" s="72"/>
      <c r="C213" s="71"/>
      <c r="D213" s="71"/>
      <c r="E213" s="71"/>
      <c r="F213" s="71"/>
      <c r="G213" s="71"/>
      <c r="H213" s="71"/>
      <c r="I213" s="71"/>
      <c r="J213" s="71"/>
    </row>
    <row r="214" spans="1:10">
      <c r="A214" s="71"/>
      <c r="B214" s="72"/>
      <c r="C214" s="71"/>
      <c r="D214" s="71"/>
      <c r="E214" s="71"/>
      <c r="F214" s="71"/>
      <c r="G214" s="71"/>
      <c r="H214" s="71"/>
      <c r="I214" s="71"/>
      <c r="J214" s="71"/>
    </row>
    <row r="215" spans="1:10">
      <c r="A215" s="71"/>
      <c r="B215" s="72"/>
      <c r="C215" s="71"/>
      <c r="D215" s="71"/>
      <c r="E215" s="71"/>
      <c r="F215" s="71"/>
      <c r="G215" s="71"/>
      <c r="H215" s="71"/>
      <c r="I215" s="71"/>
      <c r="J215" s="71"/>
    </row>
    <row r="216" spans="1:10">
      <c r="A216" s="71"/>
      <c r="B216" s="72"/>
      <c r="C216" s="71"/>
      <c r="D216" s="71"/>
      <c r="E216" s="71"/>
      <c r="F216" s="71"/>
      <c r="G216" s="71"/>
      <c r="H216" s="71"/>
      <c r="I216" s="71"/>
      <c r="J216" s="71"/>
    </row>
    <row r="217" spans="1:10">
      <c r="A217" s="71"/>
      <c r="B217" s="72"/>
      <c r="C217" s="71"/>
      <c r="D217" s="71"/>
      <c r="E217" s="71"/>
      <c r="F217" s="71"/>
      <c r="G217" s="71"/>
      <c r="H217" s="71"/>
      <c r="I217" s="71"/>
      <c r="J217" s="71"/>
    </row>
    <row r="218" spans="1:10">
      <c r="A218" s="71"/>
      <c r="B218" s="72"/>
      <c r="C218" s="71"/>
      <c r="D218" s="71"/>
      <c r="E218" s="71"/>
      <c r="F218" s="71"/>
      <c r="G218" s="71"/>
      <c r="H218" s="71"/>
      <c r="I218" s="71"/>
      <c r="J218" s="71"/>
    </row>
    <row r="219" spans="1:10">
      <c r="A219" s="71"/>
      <c r="B219" s="72"/>
      <c r="C219" s="71"/>
      <c r="D219" s="71"/>
      <c r="E219" s="71"/>
      <c r="F219" s="71"/>
      <c r="G219" s="71"/>
      <c r="H219" s="71"/>
      <c r="I219" s="71"/>
      <c r="J219" s="71"/>
    </row>
    <row r="220" spans="1:10">
      <c r="A220" s="71"/>
      <c r="B220" s="72"/>
      <c r="C220" s="71"/>
      <c r="D220" s="71"/>
      <c r="E220" s="71"/>
      <c r="F220" s="71"/>
      <c r="G220" s="71"/>
      <c r="H220" s="71"/>
      <c r="I220" s="71"/>
      <c r="J220" s="71"/>
    </row>
    <row r="221" spans="1:10">
      <c r="A221" s="71"/>
      <c r="B221" s="72"/>
      <c r="C221" s="71"/>
      <c r="D221" s="71"/>
      <c r="E221" s="71"/>
      <c r="F221" s="71"/>
      <c r="G221" s="71"/>
      <c r="H221" s="71"/>
      <c r="I221" s="71"/>
      <c r="J221" s="71"/>
    </row>
    <row r="222" spans="1:10">
      <c r="A222" s="71"/>
      <c r="B222" s="72"/>
      <c r="C222" s="71"/>
      <c r="D222" s="71"/>
      <c r="E222" s="71"/>
      <c r="F222" s="71"/>
      <c r="G222" s="71"/>
      <c r="H222" s="71"/>
      <c r="I222" s="71"/>
      <c r="J222" s="71"/>
    </row>
    <row r="223" spans="1:10">
      <c r="A223" s="71"/>
      <c r="B223" s="72"/>
      <c r="C223" s="71"/>
      <c r="D223" s="71"/>
      <c r="E223" s="71"/>
      <c r="F223" s="71"/>
      <c r="G223" s="71"/>
      <c r="H223" s="71"/>
      <c r="I223" s="71"/>
      <c r="J223" s="71"/>
    </row>
    <row r="224" spans="1:10">
      <c r="A224" s="71"/>
      <c r="B224" s="72"/>
      <c r="C224" s="71"/>
      <c r="D224" s="71"/>
      <c r="E224" s="71"/>
      <c r="F224" s="71"/>
      <c r="G224" s="71"/>
      <c r="H224" s="71"/>
      <c r="I224" s="71"/>
      <c r="J224" s="71"/>
    </row>
    <row r="225" spans="1:10">
      <c r="A225" s="71"/>
      <c r="B225" s="72"/>
      <c r="C225" s="71"/>
      <c r="D225" s="71"/>
      <c r="E225" s="71"/>
      <c r="F225" s="71"/>
      <c r="G225" s="71"/>
      <c r="H225" s="71"/>
      <c r="I225" s="71"/>
      <c r="J225" s="71"/>
    </row>
    <row r="226" spans="1:10">
      <c r="A226" s="71"/>
      <c r="B226" s="72"/>
      <c r="C226" s="71"/>
      <c r="D226" s="71"/>
      <c r="E226" s="71"/>
      <c r="F226" s="71"/>
      <c r="G226" s="71"/>
      <c r="H226" s="71"/>
      <c r="I226" s="71"/>
      <c r="J226" s="71"/>
    </row>
    <row r="227" spans="1:10">
      <c r="A227" s="71"/>
      <c r="B227" s="72"/>
      <c r="C227" s="71"/>
      <c r="D227" s="71"/>
      <c r="E227" s="71"/>
      <c r="F227" s="71"/>
      <c r="G227" s="71"/>
      <c r="H227" s="71"/>
      <c r="I227" s="71"/>
      <c r="J227" s="71"/>
    </row>
    <row r="228" spans="1:10">
      <c r="A228" s="71"/>
      <c r="B228" s="72"/>
      <c r="C228" s="71"/>
      <c r="D228" s="71"/>
      <c r="E228" s="71"/>
      <c r="F228" s="71"/>
      <c r="G228" s="71"/>
      <c r="H228" s="71"/>
      <c r="I228" s="71"/>
      <c r="J228" s="71"/>
    </row>
    <row r="229" spans="1:10">
      <c r="A229" s="71"/>
      <c r="B229" s="72"/>
      <c r="C229" s="71"/>
      <c r="D229" s="71"/>
      <c r="E229" s="71"/>
      <c r="F229" s="71"/>
      <c r="G229" s="71"/>
      <c r="H229" s="71"/>
      <c r="I229" s="71"/>
      <c r="J229" s="71"/>
    </row>
    <row r="230" spans="1:10">
      <c r="A230" s="71"/>
      <c r="B230" s="72"/>
      <c r="C230" s="71"/>
      <c r="D230" s="71"/>
      <c r="E230" s="71"/>
      <c r="F230" s="71"/>
      <c r="G230" s="71"/>
      <c r="H230" s="71"/>
      <c r="I230" s="71"/>
      <c r="J230" s="71"/>
    </row>
    <row r="231" spans="1:10">
      <c r="A231" s="71"/>
      <c r="B231" s="72"/>
      <c r="C231" s="71"/>
      <c r="D231" s="71"/>
      <c r="E231" s="71"/>
      <c r="F231" s="71"/>
      <c r="G231" s="71"/>
      <c r="H231" s="71"/>
      <c r="I231" s="71"/>
      <c r="J231" s="71"/>
    </row>
    <row r="232" spans="1:10">
      <c r="A232" s="71"/>
      <c r="B232" s="72"/>
      <c r="C232" s="71"/>
      <c r="D232" s="71"/>
      <c r="E232" s="71"/>
      <c r="F232" s="71"/>
      <c r="G232" s="71"/>
      <c r="H232" s="71"/>
      <c r="I232" s="71"/>
      <c r="J232" s="71"/>
    </row>
    <row r="233" spans="1:10">
      <c r="A233" s="71"/>
      <c r="B233" s="72"/>
      <c r="C233" s="71"/>
      <c r="D233" s="71"/>
      <c r="E233" s="71"/>
      <c r="F233" s="71"/>
      <c r="G233" s="71"/>
      <c r="H233" s="71"/>
      <c r="I233" s="71"/>
      <c r="J233" s="71"/>
    </row>
    <row r="234" spans="1:10">
      <c r="A234" s="71"/>
      <c r="B234" s="72"/>
      <c r="C234" s="71"/>
      <c r="D234" s="71"/>
      <c r="E234" s="71"/>
      <c r="F234" s="71"/>
      <c r="G234" s="71"/>
      <c r="H234" s="71"/>
      <c r="I234" s="71"/>
      <c r="J234" s="71"/>
    </row>
    <row r="235" spans="1:10">
      <c r="A235" s="71"/>
      <c r="B235" s="72"/>
      <c r="C235" s="71"/>
      <c r="D235" s="71"/>
      <c r="E235" s="71"/>
      <c r="F235" s="71"/>
      <c r="G235" s="71"/>
      <c r="H235" s="71"/>
      <c r="I235" s="71"/>
      <c r="J235" s="71"/>
    </row>
    <row r="236" spans="1:10">
      <c r="A236" s="71"/>
      <c r="B236" s="72"/>
      <c r="C236" s="71"/>
      <c r="D236" s="71"/>
      <c r="E236" s="71"/>
      <c r="F236" s="71"/>
      <c r="G236" s="71"/>
      <c r="H236" s="71"/>
      <c r="I236" s="71"/>
      <c r="J236" s="71"/>
    </row>
    <row r="237" spans="1:10">
      <c r="A237" s="71"/>
      <c r="B237" s="72"/>
      <c r="C237" s="71"/>
      <c r="D237" s="71"/>
      <c r="E237" s="71"/>
      <c r="F237" s="71"/>
      <c r="G237" s="71"/>
      <c r="H237" s="71"/>
      <c r="I237" s="71"/>
      <c r="J237" s="71"/>
    </row>
    <row r="238" spans="1:10">
      <c r="A238" s="71"/>
      <c r="B238" s="72"/>
      <c r="C238" s="71"/>
      <c r="D238" s="71"/>
      <c r="E238" s="71"/>
      <c r="F238" s="71"/>
      <c r="G238" s="71"/>
      <c r="H238" s="71"/>
      <c r="I238" s="71"/>
      <c r="J238" s="71"/>
    </row>
    <row r="239" spans="1:10">
      <c r="A239" s="71"/>
      <c r="B239" s="72"/>
      <c r="C239" s="71"/>
      <c r="D239" s="71"/>
      <c r="E239" s="71"/>
      <c r="F239" s="71"/>
      <c r="G239" s="71"/>
      <c r="H239" s="71"/>
      <c r="I239" s="71"/>
      <c r="J239" s="71"/>
    </row>
    <row r="240" spans="1:10">
      <c r="A240" s="71"/>
      <c r="B240" s="72"/>
      <c r="C240" s="71"/>
      <c r="D240" s="71"/>
      <c r="E240" s="71"/>
      <c r="F240" s="71"/>
      <c r="G240" s="71"/>
      <c r="H240" s="71"/>
      <c r="I240" s="71"/>
      <c r="J240" s="71"/>
    </row>
    <row r="241" spans="1:10">
      <c r="A241" s="71"/>
      <c r="B241" s="72"/>
      <c r="C241" s="71"/>
      <c r="D241" s="71"/>
      <c r="E241" s="71"/>
      <c r="F241" s="71"/>
      <c r="G241" s="71"/>
      <c r="H241" s="71"/>
      <c r="I241" s="71"/>
      <c r="J241" s="71"/>
    </row>
    <row r="242" spans="1:10">
      <c r="A242" s="71"/>
      <c r="B242" s="72"/>
      <c r="C242" s="71"/>
      <c r="D242" s="71"/>
      <c r="E242" s="71"/>
      <c r="F242" s="71"/>
      <c r="G242" s="71"/>
      <c r="H242" s="71"/>
      <c r="I242" s="71"/>
      <c r="J242" s="71"/>
    </row>
    <row r="243" spans="1:10">
      <c r="A243" s="71"/>
      <c r="B243" s="72"/>
      <c r="C243" s="71"/>
      <c r="D243" s="71"/>
      <c r="E243" s="71"/>
      <c r="F243" s="71"/>
      <c r="G243" s="71"/>
      <c r="H243" s="71"/>
      <c r="I243" s="71"/>
      <c r="J243" s="71"/>
    </row>
    <row r="244" spans="1:10">
      <c r="A244" s="71"/>
      <c r="B244" s="72"/>
      <c r="C244" s="71"/>
      <c r="D244" s="71"/>
      <c r="E244" s="71"/>
      <c r="F244" s="71"/>
      <c r="G244" s="71"/>
      <c r="H244" s="71"/>
      <c r="I244" s="71"/>
      <c r="J244" s="71"/>
    </row>
    <row r="245" spans="1:10">
      <c r="A245" s="71"/>
      <c r="B245" s="72"/>
      <c r="C245" s="71"/>
      <c r="D245" s="71"/>
      <c r="E245" s="71"/>
      <c r="F245" s="71"/>
      <c r="G245" s="71"/>
      <c r="H245" s="71"/>
      <c r="I245" s="71"/>
      <c r="J245" s="71"/>
    </row>
    <row r="246" spans="1:10">
      <c r="A246" s="71"/>
      <c r="B246" s="72"/>
      <c r="C246" s="71"/>
      <c r="D246" s="71"/>
      <c r="E246" s="71"/>
      <c r="F246" s="71"/>
      <c r="G246" s="71"/>
      <c r="H246" s="71"/>
      <c r="I246" s="71"/>
      <c r="J246" s="71"/>
    </row>
    <row r="247" spans="1:10">
      <c r="A247" s="71"/>
      <c r="B247" s="72"/>
      <c r="C247" s="71"/>
      <c r="D247" s="71"/>
      <c r="E247" s="71"/>
      <c r="F247" s="71"/>
      <c r="G247" s="71"/>
      <c r="H247" s="71"/>
      <c r="I247" s="71"/>
      <c r="J247" s="71"/>
    </row>
    <row r="248" spans="1:10">
      <c r="A248" s="71"/>
      <c r="B248" s="72"/>
      <c r="C248" s="71"/>
      <c r="D248" s="71"/>
      <c r="E248" s="71"/>
      <c r="F248" s="71"/>
      <c r="G248" s="71"/>
      <c r="H248" s="71"/>
      <c r="I248" s="71"/>
      <c r="J248" s="71"/>
    </row>
    <row r="249" spans="1:10">
      <c r="A249" s="71"/>
      <c r="B249" s="72"/>
      <c r="C249" s="71"/>
      <c r="D249" s="71"/>
      <c r="E249" s="71"/>
      <c r="F249" s="71"/>
      <c r="G249" s="71"/>
      <c r="H249" s="71"/>
      <c r="I249" s="71"/>
      <c r="J249" s="71"/>
    </row>
    <row r="250" spans="1:10">
      <c r="A250" s="71"/>
      <c r="B250" s="72"/>
      <c r="C250" s="71"/>
      <c r="D250" s="71"/>
      <c r="E250" s="71"/>
      <c r="F250" s="71"/>
      <c r="G250" s="71"/>
      <c r="H250" s="71"/>
      <c r="I250" s="71"/>
      <c r="J250" s="71"/>
    </row>
    <row r="251" spans="1:10">
      <c r="A251" s="71"/>
      <c r="B251" s="72"/>
      <c r="C251" s="71"/>
      <c r="D251" s="71"/>
      <c r="E251" s="71"/>
      <c r="F251" s="71"/>
      <c r="G251" s="71"/>
      <c r="H251" s="71"/>
      <c r="I251" s="71"/>
      <c r="J251" s="71"/>
    </row>
    <row r="252" spans="1:10">
      <c r="A252" s="71"/>
      <c r="B252" s="72"/>
      <c r="C252" s="71"/>
      <c r="D252" s="71"/>
      <c r="E252" s="71"/>
      <c r="F252" s="71"/>
      <c r="G252" s="71"/>
      <c r="H252" s="71"/>
      <c r="I252" s="71"/>
      <c r="J252" s="71"/>
    </row>
    <row r="253" spans="1:10">
      <c r="A253" s="71"/>
      <c r="B253" s="72"/>
      <c r="C253" s="71"/>
      <c r="D253" s="71"/>
      <c r="E253" s="71"/>
      <c r="F253" s="71"/>
      <c r="G253" s="71"/>
      <c r="H253" s="71"/>
      <c r="I253" s="71"/>
      <c r="J253" s="71"/>
    </row>
    <row r="254" spans="1:10">
      <c r="A254" s="71"/>
      <c r="B254" s="72"/>
      <c r="C254" s="71"/>
      <c r="D254" s="71"/>
      <c r="E254" s="71"/>
      <c r="F254" s="71"/>
      <c r="G254" s="71"/>
      <c r="H254" s="71"/>
      <c r="I254" s="71"/>
      <c r="J254" s="71"/>
    </row>
    <row r="255" spans="1:10">
      <c r="A255" s="71"/>
      <c r="B255" s="72"/>
      <c r="C255" s="71"/>
      <c r="D255" s="71"/>
      <c r="E255" s="71"/>
      <c r="F255" s="71"/>
      <c r="G255" s="71"/>
      <c r="H255" s="71"/>
      <c r="I255" s="71"/>
      <c r="J255" s="71"/>
    </row>
    <row r="256" spans="1:10">
      <c r="A256" s="71"/>
      <c r="B256" s="72"/>
      <c r="C256" s="71"/>
      <c r="D256" s="71"/>
      <c r="E256" s="71"/>
      <c r="F256" s="71"/>
      <c r="G256" s="71"/>
      <c r="H256" s="71"/>
      <c r="I256" s="71"/>
      <c r="J256" s="71"/>
    </row>
    <row r="257" spans="1:10">
      <c r="A257" s="71"/>
      <c r="B257" s="72"/>
      <c r="C257" s="71"/>
      <c r="D257" s="71"/>
      <c r="E257" s="71"/>
      <c r="F257" s="71"/>
      <c r="G257" s="71"/>
      <c r="H257" s="71"/>
      <c r="I257" s="71"/>
      <c r="J257" s="71"/>
    </row>
    <row r="258" spans="1:10">
      <c r="A258" s="71"/>
      <c r="B258" s="72"/>
      <c r="C258" s="71"/>
      <c r="D258" s="71"/>
      <c r="E258" s="71"/>
      <c r="F258" s="71"/>
      <c r="G258" s="71"/>
      <c r="H258" s="71"/>
      <c r="I258" s="71"/>
      <c r="J258" s="71"/>
    </row>
    <row r="259" spans="1:10">
      <c r="A259" s="71"/>
      <c r="B259" s="72"/>
      <c r="C259" s="71"/>
      <c r="D259" s="71"/>
      <c r="E259" s="71"/>
      <c r="F259" s="71"/>
      <c r="G259" s="71"/>
      <c r="H259" s="71"/>
      <c r="I259" s="71"/>
      <c r="J259" s="71"/>
    </row>
    <row r="260" spans="1:10">
      <c r="A260" s="71"/>
      <c r="B260" s="72"/>
      <c r="C260" s="71"/>
      <c r="D260" s="71"/>
      <c r="E260" s="71"/>
      <c r="F260" s="71"/>
      <c r="G260" s="71"/>
      <c r="H260" s="71"/>
      <c r="I260" s="71"/>
      <c r="J260" s="71"/>
    </row>
    <row r="261" spans="1:10">
      <c r="A261" s="71"/>
      <c r="B261" s="72"/>
      <c r="C261" s="71"/>
      <c r="D261" s="71"/>
      <c r="E261" s="71"/>
      <c r="F261" s="71"/>
      <c r="G261" s="71"/>
      <c r="H261" s="71"/>
      <c r="I261" s="71"/>
      <c r="J261" s="71"/>
    </row>
    <row r="262" spans="1:10">
      <c r="A262" s="71"/>
      <c r="B262" s="72"/>
      <c r="C262" s="71"/>
      <c r="D262" s="71"/>
      <c r="E262" s="71"/>
      <c r="F262" s="71"/>
      <c r="G262" s="71"/>
      <c r="H262" s="71"/>
      <c r="I262" s="71"/>
      <c r="J262" s="71"/>
    </row>
    <row r="263" spans="1:10">
      <c r="A263" s="71"/>
      <c r="B263" s="72"/>
      <c r="C263" s="71"/>
      <c r="D263" s="71"/>
      <c r="E263" s="71"/>
      <c r="F263" s="71"/>
      <c r="G263" s="71"/>
      <c r="H263" s="71"/>
      <c r="I263" s="71"/>
      <c r="J263" s="71"/>
    </row>
    <row r="264" spans="1:10">
      <c r="A264" s="71"/>
      <c r="B264" s="72"/>
      <c r="C264" s="71"/>
      <c r="D264" s="71"/>
      <c r="E264" s="71"/>
      <c r="F264" s="71"/>
      <c r="G264" s="71"/>
      <c r="H264" s="71"/>
      <c r="I264" s="71"/>
      <c r="J264" s="71"/>
    </row>
    <row r="265" spans="1:10">
      <c r="A265" s="71"/>
      <c r="B265" s="72"/>
      <c r="C265" s="71"/>
      <c r="D265" s="71"/>
      <c r="E265" s="71"/>
      <c r="F265" s="71"/>
      <c r="G265" s="71"/>
      <c r="H265" s="71"/>
      <c r="I265" s="71"/>
      <c r="J265" s="71"/>
    </row>
    <row r="266" spans="1:10">
      <c r="A266" s="71"/>
      <c r="B266" s="72"/>
      <c r="C266" s="71"/>
      <c r="D266" s="71"/>
      <c r="E266" s="71"/>
      <c r="F266" s="71"/>
      <c r="G266" s="71"/>
      <c r="H266" s="71"/>
      <c r="I266" s="71"/>
      <c r="J266" s="71"/>
    </row>
    <row r="267" spans="1:10">
      <c r="A267" s="71"/>
      <c r="B267" s="72"/>
      <c r="C267" s="71"/>
      <c r="D267" s="71"/>
      <c r="E267" s="71"/>
      <c r="F267" s="71"/>
      <c r="G267" s="71"/>
      <c r="H267" s="71"/>
      <c r="I267" s="71"/>
      <c r="J267" s="71"/>
    </row>
    <row r="268" spans="1:10">
      <c r="A268" s="71"/>
      <c r="B268" s="72"/>
      <c r="C268" s="71"/>
      <c r="D268" s="71"/>
      <c r="E268" s="71"/>
      <c r="F268" s="71"/>
      <c r="G268" s="71"/>
      <c r="H268" s="71"/>
      <c r="I268" s="71"/>
      <c r="J268" s="71"/>
    </row>
    <row r="269" spans="1:10">
      <c r="A269" s="71"/>
      <c r="B269" s="72"/>
      <c r="C269" s="71"/>
      <c r="D269" s="71"/>
      <c r="E269" s="71"/>
      <c r="F269" s="71"/>
      <c r="G269" s="71"/>
      <c r="H269" s="71"/>
      <c r="I269" s="71"/>
      <c r="J269" s="71"/>
    </row>
    <row r="270" spans="1:10">
      <c r="A270" s="71"/>
      <c r="B270" s="72"/>
      <c r="C270" s="71"/>
      <c r="D270" s="71"/>
      <c r="E270" s="71"/>
      <c r="F270" s="71"/>
      <c r="G270" s="71"/>
      <c r="H270" s="71"/>
      <c r="I270" s="71"/>
      <c r="J270" s="71"/>
    </row>
    <row r="271" spans="1:10">
      <c r="A271" s="71"/>
      <c r="B271" s="72"/>
      <c r="C271" s="71"/>
      <c r="D271" s="71"/>
      <c r="E271" s="71"/>
      <c r="F271" s="71"/>
      <c r="G271" s="71"/>
      <c r="H271" s="71"/>
      <c r="I271" s="71"/>
      <c r="J271" s="71"/>
    </row>
    <row r="272" spans="1:10">
      <c r="A272" s="71"/>
      <c r="B272" s="72"/>
      <c r="C272" s="71"/>
      <c r="D272" s="71"/>
      <c r="E272" s="71"/>
      <c r="F272" s="71"/>
      <c r="G272" s="71"/>
      <c r="H272" s="71"/>
      <c r="I272" s="71"/>
      <c r="J272" s="71"/>
    </row>
    <row r="273" spans="1:10">
      <c r="A273" s="71"/>
      <c r="B273" s="72"/>
      <c r="C273" s="71"/>
      <c r="D273" s="71"/>
      <c r="E273" s="71"/>
      <c r="F273" s="71"/>
      <c r="G273" s="71"/>
      <c r="H273" s="71"/>
      <c r="I273" s="71"/>
      <c r="J273" s="71"/>
    </row>
    <row r="274" spans="1:10">
      <c r="A274" s="71"/>
      <c r="B274" s="72"/>
      <c r="C274" s="71"/>
      <c r="D274" s="71"/>
      <c r="E274" s="71"/>
      <c r="F274" s="71"/>
      <c r="G274" s="71"/>
      <c r="H274" s="71"/>
      <c r="I274" s="71"/>
      <c r="J274" s="71"/>
    </row>
    <row r="275" spans="1:10">
      <c r="A275" s="71"/>
      <c r="B275" s="72"/>
      <c r="C275" s="71"/>
      <c r="D275" s="71"/>
      <c r="E275" s="71"/>
      <c r="F275" s="71"/>
      <c r="G275" s="71"/>
      <c r="H275" s="71"/>
      <c r="I275" s="71"/>
      <c r="J275" s="71"/>
    </row>
    <row r="276" spans="1:10">
      <c r="A276" s="71"/>
      <c r="B276" s="72"/>
      <c r="C276" s="71"/>
      <c r="D276" s="71"/>
      <c r="E276" s="71"/>
      <c r="F276" s="71"/>
      <c r="G276" s="71"/>
      <c r="H276" s="71"/>
      <c r="I276" s="71"/>
      <c r="J276" s="71"/>
    </row>
    <row r="277" spans="1:10">
      <c r="A277" s="71"/>
      <c r="B277" s="72"/>
      <c r="C277" s="71"/>
      <c r="D277" s="71"/>
      <c r="E277" s="71"/>
      <c r="F277" s="71"/>
      <c r="G277" s="71"/>
      <c r="H277" s="71"/>
      <c r="I277" s="71"/>
      <c r="J277" s="71"/>
    </row>
    <row r="278" spans="1:10">
      <c r="A278" s="71"/>
      <c r="B278" s="72"/>
      <c r="C278" s="71"/>
      <c r="D278" s="71"/>
      <c r="E278" s="71"/>
      <c r="F278" s="71"/>
      <c r="G278" s="71"/>
      <c r="H278" s="71"/>
      <c r="I278" s="71"/>
      <c r="J278" s="71"/>
    </row>
    <row r="279" spans="1:10">
      <c r="A279" s="71"/>
      <c r="B279" s="72"/>
      <c r="C279" s="71"/>
      <c r="D279" s="71"/>
      <c r="E279" s="71"/>
      <c r="F279" s="71"/>
      <c r="G279" s="71"/>
      <c r="H279" s="71"/>
      <c r="I279" s="71"/>
      <c r="J279" s="71"/>
    </row>
    <row r="280" spans="1:10">
      <c r="A280" s="71"/>
      <c r="B280" s="72"/>
      <c r="C280" s="71"/>
      <c r="D280" s="71"/>
      <c r="E280" s="71"/>
      <c r="F280" s="71"/>
      <c r="G280" s="71"/>
      <c r="H280" s="71"/>
      <c r="I280" s="71"/>
      <c r="J280" s="71"/>
    </row>
    <row r="281" spans="1:10">
      <c r="A281" s="71"/>
      <c r="B281" s="72"/>
      <c r="C281" s="71"/>
      <c r="D281" s="71"/>
      <c r="E281" s="71"/>
      <c r="F281" s="71"/>
      <c r="G281" s="71"/>
      <c r="H281" s="71"/>
      <c r="I281" s="71"/>
      <c r="J281" s="71"/>
    </row>
    <row r="282" spans="1:10">
      <c r="A282" s="71"/>
      <c r="B282" s="72"/>
      <c r="C282" s="71"/>
      <c r="D282" s="71"/>
      <c r="E282" s="71"/>
      <c r="F282" s="71"/>
      <c r="G282" s="71"/>
      <c r="H282" s="71"/>
      <c r="I282" s="71"/>
      <c r="J282" s="71"/>
    </row>
    <row r="283" spans="1:10">
      <c r="A283" s="71"/>
      <c r="B283" s="72"/>
      <c r="C283" s="71"/>
      <c r="D283" s="71"/>
      <c r="E283" s="71"/>
      <c r="F283" s="71"/>
      <c r="G283" s="71"/>
      <c r="H283" s="71"/>
      <c r="I283" s="71"/>
      <c r="J283" s="71"/>
    </row>
    <row r="284" spans="1:10">
      <c r="A284" s="71"/>
      <c r="B284" s="72"/>
      <c r="C284" s="71"/>
      <c r="D284" s="71"/>
      <c r="E284" s="71"/>
      <c r="F284" s="71"/>
      <c r="G284" s="71"/>
      <c r="H284" s="71"/>
      <c r="I284" s="71"/>
      <c r="J284" s="71"/>
    </row>
    <row r="285" spans="1:10">
      <c r="A285" s="71"/>
      <c r="B285" s="72"/>
      <c r="C285" s="71"/>
      <c r="D285" s="71"/>
      <c r="E285" s="71"/>
      <c r="F285" s="71"/>
      <c r="G285" s="71"/>
      <c r="H285" s="71"/>
      <c r="I285" s="71"/>
      <c r="J285" s="71"/>
    </row>
    <row r="286" spans="1:10">
      <c r="A286" s="71"/>
      <c r="B286" s="72"/>
      <c r="C286" s="71"/>
      <c r="D286" s="71"/>
      <c r="E286" s="71"/>
      <c r="F286" s="71"/>
      <c r="G286" s="71"/>
      <c r="H286" s="71"/>
      <c r="I286" s="71"/>
      <c r="J286" s="71"/>
    </row>
    <row r="287" spans="1:10">
      <c r="A287" s="71"/>
      <c r="B287" s="72"/>
      <c r="C287" s="71"/>
      <c r="D287" s="71"/>
      <c r="E287" s="71"/>
      <c r="F287" s="71"/>
      <c r="G287" s="71"/>
      <c r="H287" s="71"/>
      <c r="I287" s="71"/>
      <c r="J287" s="71"/>
    </row>
    <row r="288" spans="1:10">
      <c r="A288" s="71"/>
      <c r="B288" s="72"/>
      <c r="C288" s="71"/>
      <c r="D288" s="71"/>
      <c r="E288" s="71"/>
      <c r="F288" s="71"/>
      <c r="G288" s="71"/>
      <c r="H288" s="71"/>
      <c r="I288" s="71"/>
      <c r="J288" s="71"/>
    </row>
    <row r="289" spans="1:10">
      <c r="A289" s="71"/>
      <c r="B289" s="72"/>
      <c r="C289" s="71"/>
      <c r="D289" s="71"/>
      <c r="E289" s="71"/>
      <c r="F289" s="71"/>
      <c r="G289" s="71"/>
      <c r="H289" s="71"/>
      <c r="I289" s="71"/>
      <c r="J289" s="71"/>
    </row>
    <row r="290" spans="1:10">
      <c r="A290" s="71"/>
      <c r="B290" s="72"/>
      <c r="C290" s="71"/>
      <c r="D290" s="71"/>
      <c r="E290" s="71"/>
      <c r="F290" s="71"/>
      <c r="G290" s="71"/>
      <c r="H290" s="71"/>
      <c r="I290" s="71"/>
      <c r="J290" s="71"/>
    </row>
    <row r="291" spans="1:10">
      <c r="A291" s="71"/>
      <c r="B291" s="72"/>
      <c r="C291" s="71"/>
      <c r="D291" s="71"/>
      <c r="E291" s="71"/>
      <c r="F291" s="71"/>
      <c r="G291" s="71"/>
      <c r="H291" s="71"/>
      <c r="I291" s="71"/>
      <c r="J291" s="71"/>
    </row>
    <row r="292" spans="1:10">
      <c r="A292" s="71"/>
      <c r="B292" s="72"/>
      <c r="C292" s="71"/>
      <c r="D292" s="71"/>
      <c r="E292" s="71"/>
      <c r="F292" s="71"/>
      <c r="G292" s="71"/>
      <c r="H292" s="71"/>
      <c r="I292" s="71"/>
      <c r="J292" s="71"/>
    </row>
    <row r="293" spans="1:10">
      <c r="A293" s="71"/>
      <c r="B293" s="72"/>
      <c r="C293" s="71"/>
      <c r="D293" s="71"/>
      <c r="E293" s="71"/>
      <c r="F293" s="71"/>
      <c r="G293" s="71"/>
      <c r="H293" s="71"/>
      <c r="I293" s="71"/>
      <c r="J293" s="71"/>
    </row>
    <row r="294" spans="1:10">
      <c r="A294" s="71"/>
      <c r="B294" s="72"/>
      <c r="C294" s="71"/>
      <c r="D294" s="71"/>
      <c r="E294" s="71"/>
      <c r="F294" s="71"/>
      <c r="G294" s="71"/>
      <c r="H294" s="71"/>
      <c r="I294" s="71"/>
      <c r="J294" s="71"/>
    </row>
    <row r="295" spans="1:10">
      <c r="A295" s="71"/>
      <c r="B295" s="72"/>
      <c r="C295" s="71"/>
      <c r="D295" s="71"/>
      <c r="E295" s="71"/>
      <c r="F295" s="71"/>
      <c r="G295" s="71"/>
      <c r="H295" s="71"/>
      <c r="I295" s="71"/>
      <c r="J295" s="71"/>
    </row>
    <row r="296" spans="1:10">
      <c r="A296" s="71"/>
      <c r="B296" s="72"/>
      <c r="C296" s="71"/>
      <c r="D296" s="71"/>
      <c r="E296" s="71"/>
      <c r="F296" s="71"/>
      <c r="G296" s="71"/>
      <c r="H296" s="71"/>
      <c r="I296" s="71"/>
      <c r="J296" s="71"/>
    </row>
    <row r="297" spans="1:10">
      <c r="A297" s="71"/>
      <c r="B297" s="72"/>
      <c r="C297" s="71"/>
      <c r="D297" s="71"/>
      <c r="E297" s="71"/>
      <c r="F297" s="71"/>
      <c r="G297" s="71"/>
      <c r="H297" s="71"/>
      <c r="I297" s="71"/>
      <c r="J297" s="71"/>
    </row>
    <row r="298" spans="1:10">
      <c r="A298" s="71"/>
      <c r="B298" s="72"/>
      <c r="C298" s="71"/>
      <c r="D298" s="71"/>
      <c r="E298" s="71"/>
      <c r="F298" s="71"/>
      <c r="G298" s="71"/>
      <c r="H298" s="71"/>
      <c r="I298" s="71"/>
      <c r="J298" s="71"/>
    </row>
    <row r="299" spans="1:10">
      <c r="A299" s="71"/>
      <c r="B299" s="72"/>
      <c r="C299" s="71"/>
      <c r="D299" s="71"/>
      <c r="E299" s="71"/>
      <c r="F299" s="71"/>
      <c r="G299" s="71"/>
      <c r="H299" s="71"/>
      <c r="I299" s="71"/>
      <c r="J299" s="71"/>
    </row>
    <row r="300" spans="1:10">
      <c r="A300" s="71"/>
      <c r="B300" s="72"/>
      <c r="C300" s="71"/>
      <c r="D300" s="71"/>
      <c r="E300" s="71"/>
      <c r="F300" s="71"/>
      <c r="G300" s="71"/>
      <c r="H300" s="71"/>
      <c r="I300" s="71"/>
      <c r="J300" s="71"/>
    </row>
    <row r="301" spans="1:10">
      <c r="A301" s="71"/>
      <c r="B301" s="72"/>
      <c r="C301" s="71"/>
      <c r="D301" s="71"/>
      <c r="E301" s="71"/>
      <c r="F301" s="71"/>
      <c r="G301" s="71"/>
      <c r="H301" s="71"/>
      <c r="I301" s="71"/>
      <c r="J301" s="71"/>
    </row>
    <row r="302" spans="1:10">
      <c r="A302" s="71"/>
      <c r="B302" s="72"/>
      <c r="C302" s="71"/>
      <c r="D302" s="71"/>
      <c r="E302" s="71"/>
      <c r="F302" s="71"/>
      <c r="G302" s="71"/>
      <c r="H302" s="71"/>
      <c r="I302" s="71"/>
      <c r="J302" s="71"/>
    </row>
    <row r="303" spans="1:10">
      <c r="A303" s="71"/>
      <c r="B303" s="72"/>
      <c r="C303" s="71"/>
      <c r="D303" s="71"/>
      <c r="E303" s="71"/>
      <c r="F303" s="71"/>
      <c r="G303" s="71"/>
      <c r="H303" s="71"/>
      <c r="I303" s="71"/>
      <c r="J303" s="71"/>
    </row>
    <row r="304" spans="1:10">
      <c r="A304" s="71"/>
      <c r="B304" s="72"/>
      <c r="C304" s="71"/>
      <c r="D304" s="71"/>
      <c r="E304" s="71"/>
      <c r="F304" s="71"/>
      <c r="G304" s="71"/>
      <c r="H304" s="71"/>
      <c r="I304" s="71"/>
      <c r="J304" s="71"/>
    </row>
    <row r="305" spans="1:10">
      <c r="A305" s="71"/>
      <c r="B305" s="72"/>
      <c r="C305" s="71"/>
      <c r="D305" s="71"/>
      <c r="E305" s="71"/>
      <c r="F305" s="71"/>
      <c r="G305" s="71"/>
      <c r="H305" s="71"/>
      <c r="I305" s="71"/>
      <c r="J305" s="71"/>
    </row>
    <row r="306" spans="1:10">
      <c r="A306" s="71"/>
      <c r="B306" s="72"/>
      <c r="C306" s="71"/>
      <c r="D306" s="71"/>
      <c r="E306" s="71"/>
      <c r="F306" s="71"/>
      <c r="G306" s="71"/>
      <c r="H306" s="71"/>
      <c r="I306" s="71"/>
      <c r="J306" s="71"/>
    </row>
    <row r="307" spans="1:10">
      <c r="A307" s="71"/>
      <c r="B307" s="72"/>
      <c r="C307" s="71"/>
      <c r="D307" s="71"/>
      <c r="E307" s="71"/>
      <c r="F307" s="71"/>
      <c r="G307" s="71"/>
      <c r="H307" s="71"/>
      <c r="I307" s="71"/>
      <c r="J307" s="71"/>
    </row>
    <row r="308" spans="1:10">
      <c r="A308" s="71"/>
      <c r="B308" s="72"/>
      <c r="C308" s="71"/>
      <c r="D308" s="71"/>
      <c r="E308" s="71"/>
      <c r="F308" s="71"/>
      <c r="G308" s="71"/>
      <c r="H308" s="71"/>
      <c r="I308" s="71"/>
      <c r="J308" s="71"/>
    </row>
    <row r="309" spans="1:10">
      <c r="A309" s="71"/>
      <c r="B309" s="72"/>
      <c r="C309" s="71"/>
      <c r="D309" s="71"/>
      <c r="E309" s="71"/>
      <c r="F309" s="71"/>
      <c r="G309" s="71"/>
      <c r="H309" s="71"/>
      <c r="I309" s="71"/>
      <c r="J309" s="71"/>
    </row>
    <row r="310" spans="1:10">
      <c r="A310" s="71"/>
      <c r="B310" s="72"/>
      <c r="C310" s="71"/>
      <c r="D310" s="71"/>
      <c r="E310" s="71"/>
      <c r="F310" s="71"/>
      <c r="G310" s="71"/>
      <c r="H310" s="71"/>
      <c r="I310" s="71"/>
      <c r="J310" s="71"/>
    </row>
    <row r="311" spans="1:10">
      <c r="A311" s="71"/>
      <c r="B311" s="72"/>
      <c r="C311" s="71"/>
      <c r="D311" s="71"/>
      <c r="E311" s="71"/>
      <c r="F311" s="71"/>
      <c r="G311" s="71"/>
      <c r="H311" s="71"/>
      <c r="I311" s="71"/>
      <c r="J311" s="71"/>
    </row>
    <row r="312" spans="1:10">
      <c r="A312" s="71"/>
      <c r="B312" s="72"/>
      <c r="C312" s="71"/>
      <c r="D312" s="71"/>
      <c r="E312" s="71"/>
      <c r="F312" s="71"/>
      <c r="G312" s="71"/>
      <c r="H312" s="71"/>
      <c r="I312" s="71"/>
      <c r="J312" s="71"/>
    </row>
    <row r="313" spans="1:10">
      <c r="A313" s="71"/>
      <c r="B313" s="72"/>
      <c r="C313" s="71"/>
      <c r="D313" s="71"/>
      <c r="E313" s="71"/>
      <c r="F313" s="71"/>
      <c r="G313" s="71"/>
      <c r="H313" s="71"/>
      <c r="I313" s="71"/>
      <c r="J313" s="71"/>
    </row>
    <row r="314" spans="1:10">
      <c r="A314" s="71"/>
      <c r="B314" s="72"/>
      <c r="C314" s="71"/>
      <c r="D314" s="71"/>
      <c r="E314" s="71"/>
      <c r="F314" s="71"/>
      <c r="G314" s="71"/>
      <c r="H314" s="71"/>
      <c r="I314" s="71"/>
      <c r="J314" s="71"/>
    </row>
    <row r="315" spans="1:10">
      <c r="A315" s="71"/>
      <c r="B315" s="72"/>
      <c r="C315" s="71"/>
      <c r="D315" s="71"/>
      <c r="E315" s="71"/>
      <c r="F315" s="71"/>
      <c r="G315" s="71"/>
      <c r="H315" s="71"/>
      <c r="I315" s="71"/>
      <c r="J315" s="71"/>
    </row>
    <row r="316" spans="1:10">
      <c r="A316" s="71"/>
      <c r="B316" s="72"/>
      <c r="C316" s="71"/>
      <c r="D316" s="71"/>
      <c r="E316" s="71"/>
      <c r="F316" s="71"/>
      <c r="G316" s="71"/>
      <c r="H316" s="71"/>
      <c r="I316" s="71"/>
      <c r="J316" s="71"/>
    </row>
    <row r="317" spans="1:10">
      <c r="A317" s="71"/>
      <c r="B317" s="72"/>
      <c r="C317" s="71"/>
      <c r="D317" s="71"/>
      <c r="E317" s="71"/>
      <c r="F317" s="71"/>
      <c r="G317" s="71"/>
      <c r="H317" s="71"/>
      <c r="I317" s="71"/>
      <c r="J317" s="71"/>
    </row>
    <row r="318" spans="1:10">
      <c r="A318" s="71"/>
      <c r="B318" s="72"/>
      <c r="C318" s="71"/>
      <c r="D318" s="71"/>
      <c r="E318" s="71"/>
      <c r="F318" s="71"/>
      <c r="G318" s="71"/>
      <c r="H318" s="71"/>
      <c r="I318" s="71"/>
      <c r="J318" s="71"/>
    </row>
    <row r="319" spans="1:10">
      <c r="A319" s="71"/>
      <c r="B319" s="72"/>
      <c r="C319" s="71"/>
      <c r="D319" s="71"/>
      <c r="E319" s="71"/>
      <c r="F319" s="71"/>
      <c r="G319" s="71"/>
      <c r="H319" s="71"/>
      <c r="I319" s="71"/>
      <c r="J319" s="71"/>
    </row>
    <row r="320" spans="1:10">
      <c r="A320" s="71"/>
      <c r="B320" s="72"/>
      <c r="C320" s="71"/>
      <c r="D320" s="71"/>
      <c r="E320" s="71"/>
      <c r="F320" s="71"/>
      <c r="G320" s="71"/>
      <c r="H320" s="71"/>
      <c r="I320" s="71"/>
      <c r="J320" s="71"/>
    </row>
    <row r="321" spans="1:10">
      <c r="A321" s="71"/>
      <c r="B321" s="72"/>
      <c r="C321" s="71"/>
      <c r="D321" s="71"/>
      <c r="E321" s="71"/>
      <c r="F321" s="71"/>
      <c r="G321" s="71"/>
      <c r="H321" s="71"/>
      <c r="I321" s="71"/>
      <c r="J321" s="71"/>
    </row>
    <row r="322" spans="1:10">
      <c r="A322" s="71"/>
      <c r="B322" s="72"/>
      <c r="C322" s="71"/>
      <c r="D322" s="71"/>
      <c r="E322" s="71"/>
      <c r="F322" s="71"/>
      <c r="G322" s="71"/>
      <c r="H322" s="71"/>
      <c r="I322" s="71"/>
      <c r="J322" s="71"/>
    </row>
    <row r="323" spans="1:10">
      <c r="A323" s="71"/>
      <c r="B323" s="72"/>
      <c r="C323" s="71"/>
      <c r="D323" s="71"/>
      <c r="E323" s="71"/>
      <c r="F323" s="71"/>
      <c r="G323" s="71"/>
      <c r="H323" s="71"/>
      <c r="I323" s="71"/>
      <c r="J323" s="71"/>
    </row>
    <row r="324" spans="1:10">
      <c r="A324" s="71"/>
      <c r="B324" s="72"/>
      <c r="C324" s="71"/>
      <c r="D324" s="71"/>
      <c r="E324" s="71"/>
      <c r="F324" s="71"/>
      <c r="G324" s="71"/>
      <c r="H324" s="71"/>
      <c r="I324" s="71"/>
      <c r="J324" s="71"/>
    </row>
    <row r="325" spans="1:10">
      <c r="A325" s="71"/>
      <c r="B325" s="72"/>
      <c r="C325" s="71"/>
      <c r="D325" s="71"/>
      <c r="E325" s="71"/>
      <c r="F325" s="71"/>
      <c r="G325" s="71"/>
      <c r="H325" s="71"/>
      <c r="I325" s="71"/>
      <c r="J325" s="71"/>
    </row>
    <row r="326" spans="1:10">
      <c r="A326" s="71"/>
      <c r="B326" s="72"/>
      <c r="C326" s="71"/>
      <c r="D326" s="71"/>
      <c r="E326" s="71"/>
      <c r="F326" s="71"/>
      <c r="G326" s="71"/>
      <c r="H326" s="71"/>
      <c r="I326" s="71"/>
      <c r="J326" s="71"/>
    </row>
    <row r="327" spans="1:10">
      <c r="A327" s="71"/>
      <c r="B327" s="72"/>
      <c r="C327" s="71"/>
      <c r="D327" s="71"/>
      <c r="E327" s="71"/>
      <c r="F327" s="71"/>
      <c r="G327" s="71"/>
      <c r="H327" s="71"/>
      <c r="I327" s="71"/>
      <c r="J327" s="71"/>
    </row>
    <row r="328" spans="1:10">
      <c r="A328" s="71"/>
      <c r="B328" s="72"/>
      <c r="C328" s="71"/>
      <c r="D328" s="71"/>
      <c r="E328" s="71"/>
      <c r="F328" s="71"/>
      <c r="G328" s="71"/>
      <c r="H328" s="71"/>
      <c r="I328" s="71"/>
      <c r="J328" s="71"/>
    </row>
    <row r="329" spans="1:10">
      <c r="A329" s="71"/>
      <c r="B329" s="72"/>
      <c r="C329" s="71"/>
      <c r="D329" s="71"/>
      <c r="E329" s="71"/>
      <c r="F329" s="71"/>
      <c r="G329" s="71"/>
      <c r="H329" s="71"/>
      <c r="I329" s="71"/>
      <c r="J329" s="71"/>
    </row>
    <row r="330" spans="1:10">
      <c r="A330" s="71"/>
      <c r="B330" s="72"/>
      <c r="C330" s="71"/>
      <c r="D330" s="71"/>
      <c r="E330" s="71"/>
      <c r="F330" s="71"/>
      <c r="G330" s="71"/>
      <c r="H330" s="71"/>
      <c r="I330" s="71"/>
      <c r="J330" s="71"/>
    </row>
    <row r="331" spans="1:10">
      <c r="A331" s="71"/>
      <c r="B331" s="72"/>
      <c r="C331" s="71"/>
      <c r="D331" s="71"/>
      <c r="E331" s="71"/>
      <c r="F331" s="71"/>
      <c r="G331" s="71"/>
      <c r="H331" s="71"/>
      <c r="I331" s="71"/>
      <c r="J331" s="71"/>
    </row>
    <row r="332" spans="1:10">
      <c r="A332" s="71"/>
      <c r="B332" s="72"/>
      <c r="C332" s="71"/>
      <c r="D332" s="71"/>
      <c r="E332" s="71"/>
      <c r="F332" s="71"/>
      <c r="G332" s="71"/>
      <c r="H332" s="71"/>
      <c r="I332" s="71"/>
      <c r="J332" s="71"/>
    </row>
    <row r="333" spans="1:10">
      <c r="A333" s="71"/>
      <c r="B333" s="72"/>
      <c r="C333" s="71"/>
      <c r="D333" s="71"/>
      <c r="E333" s="71"/>
      <c r="F333" s="71"/>
      <c r="G333" s="71"/>
      <c r="H333" s="71"/>
      <c r="I333" s="71"/>
      <c r="J333" s="71"/>
    </row>
    <row r="334" spans="1:10">
      <c r="A334" s="71"/>
      <c r="B334" s="72"/>
      <c r="C334" s="71"/>
      <c r="D334" s="71"/>
      <c r="E334" s="71"/>
      <c r="F334" s="71"/>
      <c r="G334" s="71"/>
      <c r="H334" s="71"/>
      <c r="I334" s="71"/>
      <c r="J334" s="71"/>
    </row>
    <row r="335" spans="1:10">
      <c r="A335" s="71"/>
      <c r="B335" s="72"/>
      <c r="C335" s="71"/>
      <c r="D335" s="71"/>
      <c r="E335" s="71"/>
      <c r="F335" s="71"/>
      <c r="G335" s="71"/>
      <c r="H335" s="71"/>
      <c r="I335" s="71"/>
      <c r="J335" s="71"/>
    </row>
    <row r="336" spans="1:10">
      <c r="A336" s="71"/>
      <c r="B336" s="72"/>
      <c r="C336" s="71"/>
      <c r="D336" s="71"/>
      <c r="E336" s="71"/>
      <c r="F336" s="71"/>
      <c r="G336" s="71"/>
      <c r="H336" s="71"/>
      <c r="I336" s="71"/>
      <c r="J336" s="71"/>
    </row>
    <row r="337" spans="1:10">
      <c r="A337" s="71"/>
      <c r="B337" s="72"/>
      <c r="C337" s="71"/>
      <c r="D337" s="71"/>
      <c r="E337" s="71"/>
      <c r="F337" s="71"/>
      <c r="G337" s="71"/>
      <c r="H337" s="71"/>
      <c r="I337" s="71"/>
      <c r="J337" s="71"/>
    </row>
    <row r="338" spans="1:10">
      <c r="A338" s="71"/>
      <c r="B338" s="72"/>
      <c r="C338" s="71"/>
      <c r="D338" s="71"/>
      <c r="E338" s="71"/>
      <c r="F338" s="71"/>
      <c r="G338" s="71"/>
      <c r="H338" s="71"/>
      <c r="I338" s="71"/>
      <c r="J338" s="71"/>
    </row>
    <row r="339" spans="1:10">
      <c r="A339" s="71"/>
      <c r="B339" s="72"/>
      <c r="C339" s="71"/>
      <c r="D339" s="71"/>
      <c r="E339" s="71"/>
      <c r="F339" s="71"/>
      <c r="G339" s="71"/>
      <c r="H339" s="71"/>
      <c r="I339" s="71"/>
      <c r="J339" s="71"/>
    </row>
    <row r="340" spans="1:10">
      <c r="A340" s="71"/>
      <c r="B340" s="72"/>
      <c r="C340" s="71"/>
      <c r="D340" s="71"/>
      <c r="E340" s="71"/>
      <c r="F340" s="71"/>
      <c r="G340" s="71"/>
      <c r="H340" s="71"/>
      <c r="I340" s="71"/>
      <c r="J340" s="71"/>
    </row>
    <row r="341" spans="1:10">
      <c r="A341" s="71"/>
      <c r="B341" s="72"/>
      <c r="C341" s="71"/>
      <c r="D341" s="71"/>
      <c r="E341" s="71"/>
      <c r="F341" s="71"/>
      <c r="G341" s="71"/>
      <c r="H341" s="71"/>
      <c r="I341" s="71"/>
      <c r="J341" s="71"/>
    </row>
    <row r="342" spans="1:10">
      <c r="A342" s="71"/>
      <c r="B342" s="72"/>
      <c r="C342" s="71"/>
      <c r="D342" s="71"/>
      <c r="E342" s="71"/>
      <c r="F342" s="71"/>
      <c r="G342" s="71"/>
      <c r="H342" s="71"/>
      <c r="I342" s="71"/>
      <c r="J342" s="71"/>
    </row>
    <row r="343" spans="1:10">
      <c r="A343" s="71"/>
      <c r="B343" s="72"/>
      <c r="C343" s="71"/>
      <c r="D343" s="71"/>
      <c r="E343" s="71"/>
      <c r="F343" s="71"/>
      <c r="G343" s="71"/>
      <c r="H343" s="71"/>
      <c r="I343" s="71"/>
      <c r="J343" s="71"/>
    </row>
    <row r="344" spans="1:10">
      <c r="A344" s="71"/>
      <c r="B344" s="72"/>
      <c r="C344" s="71"/>
      <c r="D344" s="71"/>
      <c r="E344" s="71"/>
      <c r="F344" s="71"/>
      <c r="G344" s="71"/>
      <c r="H344" s="71"/>
      <c r="I344" s="71"/>
      <c r="J344" s="71"/>
    </row>
    <row r="345" spans="1:10">
      <c r="A345" s="71"/>
      <c r="B345" s="72"/>
      <c r="C345" s="71"/>
      <c r="D345" s="71"/>
      <c r="E345" s="71"/>
      <c r="F345" s="71"/>
      <c r="G345" s="71"/>
      <c r="H345" s="71"/>
      <c r="I345" s="71"/>
      <c r="J345" s="71"/>
    </row>
    <row r="346" spans="1:10">
      <c r="A346" s="71"/>
      <c r="B346" s="72"/>
      <c r="C346" s="71"/>
      <c r="D346" s="71"/>
      <c r="E346" s="71"/>
      <c r="F346" s="71"/>
      <c r="G346" s="71"/>
      <c r="H346" s="71"/>
      <c r="I346" s="71"/>
      <c r="J346" s="71"/>
    </row>
    <row r="347" spans="1:10">
      <c r="A347" s="71"/>
      <c r="B347" s="72"/>
      <c r="C347" s="71"/>
      <c r="D347" s="71"/>
      <c r="E347" s="71"/>
      <c r="F347" s="71"/>
      <c r="G347" s="71"/>
      <c r="H347" s="71"/>
      <c r="I347" s="71"/>
      <c r="J347" s="71"/>
    </row>
    <row r="348" spans="1:10">
      <c r="A348" s="71"/>
      <c r="B348" s="72"/>
      <c r="C348" s="71"/>
      <c r="D348" s="71"/>
      <c r="E348" s="71"/>
      <c r="F348" s="71"/>
      <c r="G348" s="71"/>
      <c r="H348" s="71"/>
      <c r="I348" s="71"/>
      <c r="J348" s="71"/>
    </row>
    <row r="349" spans="1:10">
      <c r="A349" s="71"/>
      <c r="B349" s="72"/>
      <c r="C349" s="71"/>
      <c r="D349" s="71"/>
      <c r="E349" s="71"/>
      <c r="F349" s="71"/>
      <c r="G349" s="71"/>
      <c r="H349" s="71"/>
      <c r="I349" s="71"/>
      <c r="J349" s="71"/>
    </row>
    <row r="350" spans="1:10">
      <c r="A350" s="71"/>
      <c r="B350" s="72"/>
      <c r="C350" s="71"/>
      <c r="D350" s="71"/>
      <c r="E350" s="71"/>
      <c r="F350" s="71"/>
      <c r="G350" s="71"/>
      <c r="H350" s="71"/>
      <c r="I350" s="71"/>
      <c r="J350" s="71"/>
    </row>
    <row r="351" spans="1:10">
      <c r="A351" s="71"/>
      <c r="B351" s="72"/>
      <c r="C351" s="71"/>
      <c r="D351" s="71"/>
      <c r="E351" s="71"/>
      <c r="F351" s="71"/>
      <c r="G351" s="71"/>
      <c r="H351" s="71"/>
      <c r="I351" s="71"/>
      <c r="J351" s="71"/>
    </row>
    <row r="352" spans="1:10">
      <c r="A352" s="71"/>
      <c r="B352" s="72"/>
      <c r="C352" s="71"/>
      <c r="D352" s="71"/>
      <c r="E352" s="71"/>
      <c r="F352" s="71"/>
      <c r="G352" s="71"/>
      <c r="H352" s="71"/>
      <c r="I352" s="71"/>
      <c r="J352" s="71"/>
    </row>
    <row r="353" spans="1:10">
      <c r="A353" s="71"/>
      <c r="B353" s="72"/>
      <c r="C353" s="71"/>
      <c r="D353" s="71"/>
      <c r="E353" s="71"/>
      <c r="F353" s="71"/>
      <c r="G353" s="71"/>
      <c r="H353" s="71"/>
      <c r="I353" s="71"/>
      <c r="J353" s="71"/>
    </row>
    <row r="354" spans="1:10">
      <c r="A354" s="71"/>
      <c r="B354" s="72"/>
      <c r="C354" s="71"/>
      <c r="D354" s="71"/>
      <c r="E354" s="71"/>
      <c r="F354" s="71"/>
      <c r="G354" s="71"/>
      <c r="H354" s="71"/>
      <c r="I354" s="71"/>
      <c r="J354" s="71"/>
    </row>
    <row r="355" spans="1:10">
      <c r="A355" s="71"/>
      <c r="B355" s="72"/>
      <c r="C355" s="71"/>
      <c r="D355" s="71"/>
      <c r="E355" s="71"/>
      <c r="F355" s="71"/>
      <c r="G355" s="71"/>
      <c r="H355" s="71"/>
      <c r="I355" s="71"/>
      <c r="J355" s="71"/>
    </row>
    <row r="356" spans="1:10">
      <c r="A356" s="71"/>
      <c r="B356" s="72"/>
      <c r="C356" s="71"/>
      <c r="D356" s="71"/>
      <c r="E356" s="71"/>
      <c r="F356" s="71"/>
      <c r="G356" s="71"/>
      <c r="H356" s="71"/>
      <c r="I356" s="71"/>
      <c r="J356" s="71"/>
    </row>
    <row r="357" spans="1:10">
      <c r="A357" s="71"/>
      <c r="B357" s="72"/>
      <c r="C357" s="71"/>
      <c r="D357" s="71"/>
      <c r="E357" s="71"/>
      <c r="F357" s="71"/>
      <c r="G357" s="71"/>
      <c r="H357" s="71"/>
      <c r="I357" s="71"/>
      <c r="J357" s="71"/>
    </row>
    <row r="358" spans="1:10">
      <c r="A358" s="71"/>
      <c r="B358" s="72"/>
      <c r="C358" s="71"/>
      <c r="D358" s="71"/>
      <c r="E358" s="71"/>
      <c r="F358" s="71"/>
      <c r="G358" s="71"/>
      <c r="H358" s="71"/>
      <c r="I358" s="71"/>
      <c r="J358" s="71"/>
    </row>
    <row r="359" spans="1:10">
      <c r="A359" s="71"/>
      <c r="B359" s="72"/>
      <c r="C359" s="71"/>
      <c r="D359" s="71"/>
      <c r="E359" s="71"/>
      <c r="F359" s="71"/>
      <c r="G359" s="71"/>
      <c r="H359" s="71"/>
      <c r="I359" s="71"/>
      <c r="J359" s="71"/>
    </row>
    <row r="360" spans="1:10">
      <c r="A360" s="71"/>
      <c r="B360" s="72"/>
      <c r="C360" s="71"/>
      <c r="D360" s="71"/>
      <c r="E360" s="71"/>
      <c r="F360" s="71"/>
      <c r="G360" s="71"/>
      <c r="H360" s="71"/>
      <c r="I360" s="71"/>
      <c r="J360" s="71"/>
    </row>
    <row r="361" spans="1:10">
      <c r="A361" s="71"/>
      <c r="B361" s="72"/>
      <c r="C361" s="71"/>
      <c r="D361" s="71"/>
      <c r="E361" s="71"/>
      <c r="F361" s="71"/>
      <c r="G361" s="71"/>
      <c r="H361" s="71"/>
      <c r="I361" s="71"/>
      <c r="J361" s="71"/>
    </row>
    <row r="362" spans="1:10">
      <c r="A362" s="71"/>
      <c r="B362" s="72"/>
      <c r="C362" s="71"/>
      <c r="D362" s="71"/>
      <c r="E362" s="71"/>
      <c r="F362" s="71"/>
      <c r="G362" s="71"/>
      <c r="H362" s="71"/>
      <c r="I362" s="71"/>
      <c r="J362" s="71"/>
    </row>
    <row r="363" spans="1:10">
      <c r="A363" s="71"/>
      <c r="B363" s="72"/>
      <c r="C363" s="71"/>
      <c r="D363" s="71"/>
      <c r="E363" s="71"/>
      <c r="F363" s="71"/>
      <c r="G363" s="71"/>
      <c r="H363" s="71"/>
      <c r="I363" s="71"/>
      <c r="J363" s="71"/>
    </row>
    <row r="364" spans="1:10">
      <c r="A364" s="71"/>
      <c r="B364" s="72"/>
      <c r="C364" s="71"/>
      <c r="D364" s="71"/>
      <c r="E364" s="71"/>
      <c r="F364" s="71"/>
      <c r="G364" s="71"/>
      <c r="H364" s="71"/>
      <c r="I364" s="71"/>
      <c r="J364" s="71"/>
    </row>
    <row r="365" spans="1:10">
      <c r="A365" s="71"/>
      <c r="B365" s="72"/>
      <c r="C365" s="71"/>
      <c r="D365" s="71"/>
      <c r="E365" s="71"/>
      <c r="F365" s="71"/>
      <c r="G365" s="71"/>
      <c r="H365" s="71"/>
      <c r="I365" s="71"/>
      <c r="J365" s="71"/>
    </row>
    <row r="366" spans="1:10">
      <c r="A366" s="71"/>
      <c r="B366" s="72"/>
      <c r="C366" s="71"/>
      <c r="D366" s="71"/>
      <c r="E366" s="71"/>
      <c r="F366" s="71"/>
      <c r="G366" s="71"/>
      <c r="H366" s="71"/>
      <c r="I366" s="71"/>
      <c r="J366" s="71"/>
    </row>
    <row r="367" spans="1:10">
      <c r="A367" s="71"/>
      <c r="B367" s="72"/>
      <c r="C367" s="71"/>
      <c r="D367" s="71"/>
      <c r="E367" s="71"/>
      <c r="F367" s="71"/>
      <c r="G367" s="71"/>
      <c r="H367" s="71"/>
      <c r="I367" s="71"/>
      <c r="J367" s="71"/>
    </row>
    <row r="368" spans="1:10">
      <c r="A368" s="71"/>
      <c r="B368" s="72"/>
      <c r="C368" s="71"/>
      <c r="D368" s="71"/>
      <c r="E368" s="71"/>
      <c r="F368" s="71"/>
      <c r="G368" s="71"/>
      <c r="H368" s="71"/>
      <c r="I368" s="71"/>
      <c r="J368" s="71"/>
    </row>
    <row r="369" spans="1:10">
      <c r="A369" s="71"/>
      <c r="B369" s="72"/>
      <c r="C369" s="71"/>
      <c r="D369" s="71"/>
      <c r="E369" s="71"/>
      <c r="F369" s="71"/>
      <c r="G369" s="71"/>
      <c r="H369" s="71"/>
      <c r="I369" s="71"/>
      <c r="J369" s="71"/>
    </row>
    <row r="370" spans="1:10">
      <c r="A370" s="71"/>
      <c r="B370" s="72"/>
      <c r="C370" s="71"/>
      <c r="D370" s="71"/>
      <c r="E370" s="71"/>
      <c r="F370" s="71"/>
      <c r="G370" s="71"/>
      <c r="H370" s="71"/>
      <c r="I370" s="71"/>
      <c r="J370" s="71"/>
    </row>
    <row r="371" spans="1:10">
      <c r="A371" s="71"/>
      <c r="B371" s="72"/>
      <c r="C371" s="71"/>
      <c r="D371" s="71"/>
      <c r="E371" s="71"/>
      <c r="F371" s="71"/>
      <c r="G371" s="71"/>
      <c r="H371" s="71"/>
      <c r="I371" s="71"/>
      <c r="J371" s="71"/>
    </row>
    <row r="372" spans="1:10">
      <c r="A372" s="71"/>
      <c r="B372" s="72"/>
      <c r="C372" s="71"/>
      <c r="D372" s="71"/>
      <c r="E372" s="71"/>
      <c r="F372" s="71"/>
      <c r="G372" s="71"/>
      <c r="H372" s="71"/>
      <c r="I372" s="71"/>
      <c r="J372" s="71"/>
    </row>
    <row r="373" spans="1:10">
      <c r="A373" s="71"/>
      <c r="B373" s="72"/>
      <c r="C373" s="71"/>
      <c r="D373" s="71"/>
      <c r="E373" s="71"/>
      <c r="F373" s="71"/>
      <c r="G373" s="71"/>
      <c r="H373" s="71"/>
      <c r="I373" s="71"/>
      <c r="J373" s="71"/>
    </row>
    <row r="374" spans="1:10">
      <c r="A374" s="71"/>
      <c r="B374" s="72"/>
      <c r="C374" s="71"/>
      <c r="D374" s="71"/>
      <c r="E374" s="71"/>
      <c r="F374" s="71"/>
      <c r="G374" s="71"/>
      <c r="H374" s="71"/>
      <c r="I374" s="71"/>
      <c r="J374" s="71"/>
    </row>
    <row r="375" spans="1:10">
      <c r="A375" s="71"/>
      <c r="B375" s="72"/>
      <c r="C375" s="71"/>
      <c r="D375" s="71"/>
      <c r="E375" s="71"/>
      <c r="F375" s="71"/>
      <c r="G375" s="71"/>
      <c r="H375" s="71"/>
      <c r="I375" s="71"/>
      <c r="J375" s="71"/>
    </row>
    <row r="376" spans="1:10">
      <c r="A376" s="71"/>
      <c r="B376" s="72"/>
      <c r="C376" s="71"/>
      <c r="D376" s="71"/>
      <c r="E376" s="71"/>
      <c r="F376" s="71"/>
      <c r="G376" s="71"/>
      <c r="H376" s="71"/>
      <c r="I376" s="71"/>
      <c r="J376" s="71"/>
    </row>
    <row r="377" spans="1:10">
      <c r="A377" s="71"/>
      <c r="B377" s="72"/>
      <c r="C377" s="71"/>
      <c r="D377" s="71"/>
      <c r="E377" s="71"/>
      <c r="F377" s="71"/>
      <c r="G377" s="71"/>
      <c r="H377" s="71"/>
      <c r="I377" s="71"/>
      <c r="J377" s="71"/>
    </row>
    <row r="378" spans="1:10">
      <c r="A378" s="71"/>
      <c r="B378" s="72"/>
      <c r="C378" s="71"/>
      <c r="D378" s="71"/>
      <c r="E378" s="71"/>
      <c r="F378" s="71"/>
      <c r="G378" s="71"/>
      <c r="H378" s="71"/>
      <c r="I378" s="71"/>
      <c r="J378" s="71"/>
    </row>
    <row r="379" spans="1:10">
      <c r="A379" s="71"/>
      <c r="B379" s="72"/>
      <c r="C379" s="71"/>
      <c r="D379" s="71"/>
      <c r="E379" s="71"/>
      <c r="F379" s="71"/>
      <c r="G379" s="71"/>
      <c r="H379" s="71"/>
      <c r="I379" s="71"/>
      <c r="J379" s="71"/>
    </row>
    <row r="380" spans="1:10">
      <c r="A380" s="71"/>
      <c r="B380" s="72"/>
      <c r="C380" s="71"/>
      <c r="D380" s="71"/>
      <c r="E380" s="71"/>
      <c r="F380" s="71"/>
      <c r="G380" s="71"/>
      <c r="H380" s="71"/>
      <c r="I380" s="71"/>
      <c r="J380" s="71"/>
    </row>
    <row r="381" spans="1:10">
      <c r="A381" s="71"/>
      <c r="B381" s="72"/>
      <c r="C381" s="71"/>
      <c r="D381" s="71"/>
      <c r="E381" s="71"/>
      <c r="F381" s="71"/>
      <c r="G381" s="71"/>
      <c r="H381" s="71"/>
      <c r="I381" s="71"/>
      <c r="J381" s="71"/>
    </row>
    <row r="382" spans="1:10">
      <c r="A382" s="71"/>
      <c r="B382" s="72"/>
      <c r="C382" s="71"/>
      <c r="D382" s="71"/>
      <c r="E382" s="71"/>
      <c r="F382" s="71"/>
      <c r="G382" s="71"/>
      <c r="H382" s="71"/>
      <c r="I382" s="71"/>
      <c r="J382" s="71"/>
    </row>
    <row r="383" spans="1:10">
      <c r="A383" s="71"/>
      <c r="B383" s="72"/>
      <c r="C383" s="71"/>
      <c r="D383" s="71"/>
      <c r="E383" s="71"/>
      <c r="F383" s="71"/>
      <c r="G383" s="71"/>
      <c r="H383" s="71"/>
      <c r="I383" s="71"/>
      <c r="J383" s="71"/>
    </row>
    <row r="384" spans="1:10">
      <c r="A384" s="71"/>
      <c r="B384" s="72"/>
      <c r="C384" s="71"/>
      <c r="D384" s="71"/>
      <c r="E384" s="71"/>
      <c r="F384" s="71"/>
      <c r="G384" s="71"/>
      <c r="H384" s="71"/>
      <c r="I384" s="71"/>
      <c r="J384" s="71"/>
    </row>
    <row r="385" spans="1:10">
      <c r="A385" s="71"/>
      <c r="B385" s="72"/>
      <c r="C385" s="71"/>
      <c r="D385" s="71"/>
      <c r="E385" s="71"/>
      <c r="F385" s="71"/>
      <c r="G385" s="71"/>
      <c r="H385" s="71"/>
      <c r="I385" s="71"/>
      <c r="J385" s="71"/>
    </row>
    <row r="386" spans="1:10">
      <c r="A386" s="71"/>
      <c r="B386" s="72"/>
      <c r="C386" s="71"/>
      <c r="D386" s="71"/>
      <c r="E386" s="71"/>
      <c r="F386" s="71"/>
      <c r="G386" s="71"/>
      <c r="H386" s="71"/>
      <c r="I386" s="71"/>
      <c r="J386" s="71"/>
    </row>
    <row r="387" spans="1:10">
      <c r="A387" s="71"/>
      <c r="B387" s="72"/>
      <c r="C387" s="71"/>
      <c r="D387" s="71"/>
      <c r="E387" s="71"/>
      <c r="F387" s="71"/>
      <c r="G387" s="71"/>
      <c r="H387" s="71"/>
      <c r="I387" s="71"/>
      <c r="J387" s="71"/>
    </row>
    <row r="388" spans="1:10">
      <c r="A388" s="71"/>
      <c r="B388" s="72"/>
      <c r="C388" s="71"/>
      <c r="D388" s="71"/>
      <c r="E388" s="71"/>
      <c r="F388" s="71"/>
      <c r="G388" s="71"/>
      <c r="H388" s="71"/>
      <c r="I388" s="71"/>
      <c r="J388" s="71"/>
    </row>
    <row r="389" spans="1:10">
      <c r="A389" s="71"/>
      <c r="B389" s="72"/>
      <c r="C389" s="71"/>
      <c r="D389" s="71"/>
      <c r="E389" s="71"/>
      <c r="F389" s="71"/>
      <c r="G389" s="71"/>
      <c r="H389" s="71"/>
      <c r="I389" s="71"/>
      <c r="J389" s="71"/>
    </row>
    <row r="390" spans="1:10">
      <c r="A390" s="71"/>
      <c r="B390" s="72"/>
      <c r="C390" s="71"/>
      <c r="D390" s="71"/>
      <c r="E390" s="71"/>
      <c r="F390" s="71"/>
      <c r="G390" s="71"/>
      <c r="H390" s="71"/>
      <c r="I390" s="71"/>
      <c r="J390" s="71"/>
    </row>
    <row r="391" spans="1:10">
      <c r="A391" s="71"/>
      <c r="B391" s="72"/>
      <c r="C391" s="71"/>
      <c r="D391" s="71"/>
      <c r="E391" s="71"/>
      <c r="F391" s="71"/>
      <c r="G391" s="71"/>
      <c r="H391" s="71"/>
      <c r="I391" s="71"/>
      <c r="J391" s="71"/>
    </row>
    <row r="392" spans="1:10">
      <c r="A392" s="71"/>
      <c r="B392" s="72"/>
      <c r="C392" s="71"/>
      <c r="D392" s="71"/>
      <c r="E392" s="71"/>
      <c r="F392" s="71"/>
      <c r="G392" s="71"/>
      <c r="H392" s="71"/>
      <c r="I392" s="71"/>
      <c r="J392" s="71"/>
    </row>
    <row r="393" spans="1:10">
      <c r="A393" s="71"/>
      <c r="B393" s="72"/>
      <c r="C393" s="71"/>
      <c r="D393" s="71"/>
      <c r="E393" s="71"/>
      <c r="F393" s="71"/>
      <c r="G393" s="71"/>
      <c r="H393" s="71"/>
      <c r="I393" s="71"/>
      <c r="J393" s="71"/>
    </row>
    <row r="394" spans="1:10">
      <c r="A394" s="71"/>
      <c r="B394" s="72"/>
      <c r="C394" s="71"/>
      <c r="D394" s="71"/>
      <c r="E394" s="71"/>
      <c r="F394" s="71"/>
      <c r="G394" s="71"/>
      <c r="H394" s="71"/>
      <c r="I394" s="71"/>
      <c r="J394" s="71"/>
    </row>
    <row r="395" spans="1:10">
      <c r="A395" s="71"/>
      <c r="B395" s="72"/>
      <c r="C395" s="71"/>
      <c r="D395" s="71"/>
      <c r="E395" s="71"/>
      <c r="F395" s="71"/>
      <c r="G395" s="71"/>
      <c r="H395" s="71"/>
      <c r="I395" s="71"/>
      <c r="J395" s="71"/>
    </row>
    <row r="396" spans="1:10">
      <c r="A396" s="71"/>
      <c r="B396" s="72"/>
      <c r="C396" s="71"/>
      <c r="D396" s="71"/>
      <c r="E396" s="71"/>
      <c r="F396" s="71"/>
      <c r="G396" s="71"/>
      <c r="H396" s="71"/>
      <c r="I396" s="71"/>
      <c r="J396" s="71"/>
    </row>
    <row r="397" spans="1:10">
      <c r="A397" s="71"/>
      <c r="B397" s="72"/>
      <c r="C397" s="71"/>
      <c r="D397" s="71"/>
      <c r="E397" s="71"/>
      <c r="F397" s="71"/>
      <c r="G397" s="71"/>
      <c r="H397" s="71"/>
      <c r="I397" s="71"/>
      <c r="J397" s="71"/>
    </row>
    <row r="398" spans="1:10">
      <c r="A398" s="71"/>
      <c r="B398" s="72"/>
      <c r="C398" s="71"/>
      <c r="D398" s="71"/>
      <c r="E398" s="71"/>
      <c r="F398" s="71"/>
      <c r="G398" s="71"/>
      <c r="H398" s="71"/>
      <c r="I398" s="71"/>
      <c r="J398" s="71"/>
    </row>
    <row r="399" spans="1:10">
      <c r="A399" s="71"/>
      <c r="B399" s="72"/>
      <c r="C399" s="71"/>
      <c r="D399" s="71"/>
      <c r="E399" s="71"/>
      <c r="F399" s="71"/>
      <c r="G399" s="71"/>
      <c r="H399" s="71"/>
      <c r="I399" s="71"/>
      <c r="J399" s="71"/>
    </row>
    <row r="400" spans="1:10">
      <c r="A400" s="71"/>
      <c r="B400" s="72"/>
      <c r="C400" s="71"/>
      <c r="D400" s="71"/>
      <c r="E400" s="71"/>
      <c r="F400" s="71"/>
      <c r="G400" s="71"/>
      <c r="H400" s="71"/>
      <c r="I400" s="71"/>
      <c r="J400" s="71"/>
    </row>
    <row r="401" spans="1:10">
      <c r="A401" s="71"/>
      <c r="B401" s="72"/>
      <c r="C401" s="71"/>
      <c r="D401" s="71"/>
      <c r="E401" s="71"/>
      <c r="F401" s="71"/>
      <c r="G401" s="71"/>
      <c r="H401" s="71"/>
      <c r="I401" s="71"/>
      <c r="J401" s="71"/>
    </row>
    <row r="402" spans="1:10">
      <c r="A402" s="71"/>
      <c r="B402" s="72"/>
      <c r="C402" s="71"/>
      <c r="D402" s="71"/>
      <c r="E402" s="71"/>
      <c r="F402" s="71"/>
      <c r="G402" s="71"/>
      <c r="H402" s="71"/>
      <c r="I402" s="71"/>
      <c r="J402" s="71"/>
    </row>
    <row r="403" spans="1:10">
      <c r="A403" s="71"/>
      <c r="B403" s="72"/>
      <c r="C403" s="71"/>
      <c r="D403" s="71"/>
      <c r="E403" s="71"/>
      <c r="F403" s="71"/>
      <c r="G403" s="71"/>
      <c r="H403" s="71"/>
      <c r="I403" s="71"/>
      <c r="J403" s="71"/>
    </row>
    <row r="404" spans="1:10">
      <c r="A404" s="71"/>
      <c r="B404" s="72"/>
      <c r="C404" s="71"/>
      <c r="D404" s="71"/>
      <c r="E404" s="71"/>
      <c r="F404" s="71"/>
      <c r="G404" s="71"/>
      <c r="H404" s="71"/>
      <c r="I404" s="71"/>
      <c r="J404" s="71"/>
    </row>
    <row r="405" spans="1:10">
      <c r="A405" s="71"/>
      <c r="B405" s="72"/>
      <c r="C405" s="71"/>
      <c r="D405" s="71"/>
      <c r="E405" s="71"/>
      <c r="F405" s="71"/>
      <c r="G405" s="71"/>
      <c r="H405" s="71"/>
      <c r="I405" s="71"/>
      <c r="J405" s="71"/>
    </row>
    <row r="406" spans="1:10">
      <c r="A406" s="71"/>
      <c r="B406" s="72"/>
      <c r="C406" s="71"/>
      <c r="D406" s="71"/>
      <c r="E406" s="71"/>
      <c r="F406" s="71"/>
      <c r="G406" s="71"/>
      <c r="H406" s="71"/>
      <c r="I406" s="71"/>
      <c r="J406" s="71"/>
    </row>
    <row r="407" spans="1:10">
      <c r="A407" s="71"/>
      <c r="B407" s="72"/>
      <c r="C407" s="71"/>
      <c r="D407" s="71"/>
      <c r="E407" s="71"/>
      <c r="F407" s="71"/>
      <c r="G407" s="71"/>
      <c r="H407" s="71"/>
      <c r="I407" s="71"/>
      <c r="J407" s="71"/>
    </row>
    <row r="408" spans="1:10">
      <c r="A408" s="71"/>
      <c r="B408" s="72"/>
      <c r="C408" s="71"/>
      <c r="D408" s="71"/>
      <c r="E408" s="71"/>
      <c r="F408" s="71"/>
      <c r="G408" s="71"/>
      <c r="H408" s="71"/>
      <c r="I408" s="71"/>
      <c r="J408" s="71"/>
    </row>
    <row r="409" spans="1:10">
      <c r="A409" s="71"/>
      <c r="B409" s="72"/>
      <c r="C409" s="71"/>
      <c r="D409" s="71"/>
      <c r="E409" s="71"/>
      <c r="F409" s="71"/>
      <c r="G409" s="71"/>
      <c r="H409" s="71"/>
      <c r="I409" s="71"/>
      <c r="J409" s="71"/>
    </row>
    <row r="410" spans="1:10">
      <c r="A410" s="71"/>
      <c r="B410" s="72"/>
      <c r="C410" s="71"/>
      <c r="D410" s="71"/>
      <c r="E410" s="71"/>
      <c r="F410" s="71"/>
      <c r="G410" s="71"/>
      <c r="H410" s="71"/>
      <c r="I410" s="71"/>
      <c r="J410" s="71"/>
    </row>
    <row r="411" spans="1:10">
      <c r="A411" s="71"/>
      <c r="B411" s="72"/>
      <c r="C411" s="71"/>
      <c r="D411" s="71"/>
      <c r="E411" s="71"/>
      <c r="F411" s="71"/>
      <c r="G411" s="71"/>
      <c r="H411" s="71"/>
      <c r="I411" s="71"/>
      <c r="J411" s="71"/>
    </row>
    <row r="412" spans="1:10">
      <c r="A412" s="71"/>
      <c r="B412" s="72"/>
      <c r="C412" s="71"/>
      <c r="D412" s="71"/>
      <c r="E412" s="71"/>
      <c r="F412" s="71"/>
      <c r="G412" s="71"/>
      <c r="H412" s="71"/>
      <c r="I412" s="71"/>
      <c r="J412" s="71"/>
    </row>
    <row r="413" spans="1:10">
      <c r="A413" s="71"/>
      <c r="B413" s="72"/>
      <c r="C413" s="71"/>
      <c r="D413" s="71"/>
      <c r="E413" s="71"/>
      <c r="F413" s="71"/>
      <c r="G413" s="71"/>
      <c r="H413" s="71"/>
      <c r="I413" s="71"/>
      <c r="J413" s="71"/>
    </row>
    <row r="414" spans="1:10">
      <c r="A414" s="71"/>
      <c r="B414" s="72"/>
      <c r="C414" s="71"/>
      <c r="D414" s="71"/>
      <c r="E414" s="71"/>
      <c r="F414" s="71"/>
      <c r="G414" s="71"/>
      <c r="H414" s="71"/>
      <c r="I414" s="71"/>
      <c r="J414" s="71"/>
    </row>
    <row r="415" spans="1:10">
      <c r="A415" s="71"/>
      <c r="B415" s="72"/>
      <c r="C415" s="71"/>
      <c r="D415" s="71"/>
      <c r="E415" s="71"/>
      <c r="F415" s="71"/>
      <c r="G415" s="71"/>
      <c r="H415" s="71"/>
      <c r="I415" s="71"/>
      <c r="J415" s="71"/>
    </row>
    <row r="416" spans="1:10">
      <c r="A416" s="71"/>
      <c r="B416" s="72"/>
      <c r="C416" s="71"/>
      <c r="D416" s="71"/>
      <c r="E416" s="71"/>
      <c r="F416" s="71"/>
      <c r="G416" s="71"/>
      <c r="H416" s="71"/>
      <c r="I416" s="71"/>
      <c r="J416" s="71"/>
    </row>
    <row r="417" spans="1:10">
      <c r="A417" s="71"/>
      <c r="B417" s="72"/>
      <c r="C417" s="71"/>
      <c r="D417" s="71"/>
      <c r="E417" s="71"/>
      <c r="F417" s="71"/>
      <c r="G417" s="71"/>
      <c r="H417" s="71"/>
      <c r="I417" s="71"/>
      <c r="J417" s="71"/>
    </row>
    <row r="418" spans="1:10">
      <c r="A418" s="71"/>
      <c r="B418" s="72"/>
      <c r="C418" s="71"/>
      <c r="D418" s="71"/>
      <c r="E418" s="71"/>
      <c r="F418" s="71"/>
      <c r="G418" s="71"/>
      <c r="H418" s="71"/>
      <c r="I418" s="71"/>
      <c r="J418" s="71"/>
    </row>
    <row r="419" spans="1:10">
      <c r="A419" s="71"/>
      <c r="B419" s="72"/>
      <c r="C419" s="71"/>
      <c r="D419" s="71"/>
      <c r="E419" s="71"/>
      <c r="F419" s="71"/>
      <c r="G419" s="71"/>
      <c r="H419" s="71"/>
      <c r="I419" s="71"/>
      <c r="J419" s="71"/>
    </row>
    <row r="420" spans="1:10">
      <c r="A420" s="71"/>
      <c r="B420" s="72"/>
      <c r="C420" s="71"/>
      <c r="D420" s="71"/>
      <c r="E420" s="71"/>
      <c r="F420" s="71"/>
      <c r="G420" s="71"/>
      <c r="H420" s="71"/>
      <c r="I420" s="71"/>
      <c r="J420" s="71"/>
    </row>
    <row r="421" spans="1:10">
      <c r="A421" s="71"/>
      <c r="B421" s="72"/>
      <c r="C421" s="71"/>
      <c r="D421" s="71"/>
      <c r="E421" s="71"/>
      <c r="F421" s="71"/>
      <c r="G421" s="71"/>
      <c r="H421" s="71"/>
      <c r="I421" s="71"/>
      <c r="J421" s="71"/>
    </row>
    <row r="422" spans="1:10">
      <c r="A422" s="71"/>
      <c r="B422" s="72"/>
      <c r="C422" s="71"/>
      <c r="D422" s="71"/>
      <c r="E422" s="71"/>
      <c r="F422" s="71"/>
      <c r="G422" s="71"/>
      <c r="H422" s="71"/>
      <c r="I422" s="71"/>
      <c r="J422" s="71"/>
    </row>
    <row r="423" spans="1:10">
      <c r="A423" s="71"/>
      <c r="B423" s="72"/>
      <c r="C423" s="71"/>
      <c r="D423" s="71"/>
      <c r="E423" s="71"/>
      <c r="F423" s="71"/>
      <c r="G423" s="71"/>
      <c r="H423" s="71"/>
      <c r="I423" s="71"/>
      <c r="J423" s="71"/>
    </row>
    <row r="424" spans="1:10">
      <c r="A424" s="71"/>
      <c r="B424" s="72"/>
      <c r="C424" s="71"/>
      <c r="D424" s="71"/>
      <c r="E424" s="71"/>
      <c r="F424" s="71"/>
      <c r="G424" s="71"/>
      <c r="H424" s="71"/>
      <c r="I424" s="71"/>
      <c r="J424" s="71"/>
    </row>
    <row r="425" spans="1:10">
      <c r="A425" s="71"/>
      <c r="B425" s="72"/>
      <c r="C425" s="71"/>
      <c r="D425" s="71"/>
      <c r="E425" s="71"/>
      <c r="F425" s="71"/>
      <c r="G425" s="71"/>
      <c r="H425" s="71"/>
      <c r="I425" s="71"/>
      <c r="J425" s="71"/>
    </row>
    <row r="426" spans="1:10">
      <c r="A426" s="71"/>
      <c r="B426" s="72"/>
      <c r="C426" s="71"/>
      <c r="D426" s="71"/>
      <c r="E426" s="71"/>
      <c r="F426" s="71"/>
      <c r="G426" s="71"/>
      <c r="H426" s="71"/>
      <c r="I426" s="71"/>
      <c r="J426" s="71"/>
    </row>
    <row r="427" spans="1:10">
      <c r="A427" s="71"/>
      <c r="B427" s="72"/>
      <c r="C427" s="71"/>
      <c r="D427" s="71"/>
      <c r="E427" s="71"/>
      <c r="F427" s="71"/>
      <c r="G427" s="71"/>
      <c r="H427" s="71"/>
      <c r="I427" s="71"/>
      <c r="J427" s="71"/>
    </row>
    <row r="428" spans="1:10">
      <c r="A428" s="71"/>
      <c r="B428" s="72"/>
      <c r="C428" s="71"/>
      <c r="D428" s="71"/>
      <c r="E428" s="71"/>
      <c r="F428" s="71"/>
      <c r="G428" s="71"/>
      <c r="H428" s="71"/>
      <c r="I428" s="71"/>
      <c r="J428" s="71"/>
    </row>
    <row r="429" spans="1:10">
      <c r="A429" s="71"/>
      <c r="B429" s="72"/>
      <c r="C429" s="71"/>
      <c r="D429" s="71"/>
      <c r="E429" s="71"/>
      <c r="F429" s="71"/>
      <c r="G429" s="71"/>
      <c r="H429" s="71"/>
      <c r="I429" s="71"/>
      <c r="J429" s="71"/>
    </row>
    <row r="430" spans="1:10">
      <c r="A430" s="71"/>
      <c r="B430" s="72"/>
      <c r="C430" s="71"/>
      <c r="D430" s="71"/>
      <c r="E430" s="71"/>
      <c r="F430" s="71"/>
      <c r="G430" s="71"/>
      <c r="H430" s="71"/>
      <c r="I430" s="71"/>
      <c r="J430" s="71"/>
    </row>
    <row r="431" spans="1:10">
      <c r="A431" s="71"/>
      <c r="B431" s="72"/>
      <c r="C431" s="71"/>
      <c r="D431" s="71"/>
      <c r="E431" s="71"/>
      <c r="F431" s="71"/>
      <c r="G431" s="71"/>
      <c r="H431" s="71"/>
      <c r="I431" s="71"/>
      <c r="J431" s="71"/>
    </row>
    <row r="432" spans="1:10">
      <c r="A432" s="71"/>
      <c r="B432" s="72"/>
      <c r="C432" s="71"/>
      <c r="D432" s="71"/>
      <c r="E432" s="71"/>
      <c r="F432" s="71"/>
      <c r="G432" s="71"/>
      <c r="H432" s="71"/>
      <c r="I432" s="71"/>
      <c r="J432" s="71"/>
    </row>
    <row r="433" spans="1:10">
      <c r="A433" s="71"/>
      <c r="B433" s="72"/>
      <c r="C433" s="71"/>
      <c r="D433" s="71"/>
      <c r="E433" s="71"/>
      <c r="F433" s="71"/>
      <c r="G433" s="71"/>
      <c r="H433" s="71"/>
      <c r="I433" s="71"/>
      <c r="J433" s="71"/>
    </row>
    <row r="434" spans="1:10">
      <c r="A434" s="71"/>
      <c r="B434" s="72"/>
      <c r="C434" s="71"/>
      <c r="D434" s="71"/>
      <c r="E434" s="71"/>
      <c r="F434" s="71"/>
      <c r="G434" s="71"/>
      <c r="H434" s="71"/>
      <c r="I434" s="71"/>
      <c r="J434" s="71"/>
    </row>
    <row r="435" spans="1:10">
      <c r="A435" s="71"/>
      <c r="B435" s="72"/>
      <c r="C435" s="71"/>
      <c r="D435" s="71"/>
      <c r="E435" s="71"/>
      <c r="F435" s="71"/>
      <c r="G435" s="71"/>
      <c r="H435" s="71"/>
      <c r="I435" s="71"/>
      <c r="J435" s="71"/>
    </row>
    <row r="436" spans="1:10">
      <c r="A436" s="71"/>
      <c r="B436" s="72"/>
      <c r="C436" s="71"/>
      <c r="D436" s="71"/>
      <c r="E436" s="71"/>
      <c r="F436" s="71"/>
      <c r="G436" s="71"/>
      <c r="H436" s="71"/>
      <c r="I436" s="71"/>
      <c r="J436" s="71"/>
    </row>
    <row r="437" spans="1:10">
      <c r="A437" s="71"/>
      <c r="B437" s="72"/>
      <c r="C437" s="71"/>
      <c r="D437" s="71"/>
      <c r="E437" s="71"/>
      <c r="F437" s="71"/>
      <c r="G437" s="71"/>
      <c r="H437" s="71"/>
      <c r="I437" s="71"/>
      <c r="J437" s="71"/>
    </row>
    <row r="438" spans="1:10">
      <c r="A438" s="71"/>
      <c r="B438" s="72"/>
      <c r="C438" s="71"/>
      <c r="D438" s="71"/>
      <c r="E438" s="71"/>
      <c r="F438" s="71"/>
      <c r="G438" s="71"/>
      <c r="H438" s="71"/>
      <c r="I438" s="71"/>
      <c r="J438" s="71"/>
    </row>
    <row r="439" spans="1:10">
      <c r="A439" s="71"/>
      <c r="B439" s="72"/>
      <c r="C439" s="71"/>
      <c r="D439" s="71"/>
      <c r="E439" s="71"/>
      <c r="F439" s="71"/>
      <c r="G439" s="71"/>
      <c r="H439" s="71"/>
      <c r="I439" s="71"/>
      <c r="J439" s="71"/>
    </row>
    <row r="440" spans="1:10">
      <c r="A440" s="71"/>
      <c r="B440" s="72"/>
      <c r="C440" s="71"/>
      <c r="D440" s="71"/>
      <c r="E440" s="71"/>
      <c r="F440" s="71"/>
      <c r="G440" s="71"/>
      <c r="H440" s="71"/>
      <c r="I440" s="71"/>
      <c r="J440" s="71"/>
    </row>
    <row r="441" spans="1:10">
      <c r="A441" s="71"/>
      <c r="B441" s="72"/>
      <c r="C441" s="71"/>
      <c r="D441" s="71"/>
      <c r="E441" s="71"/>
      <c r="F441" s="71"/>
      <c r="G441" s="71"/>
      <c r="H441" s="71"/>
      <c r="I441" s="71"/>
      <c r="J441" s="71"/>
    </row>
    <row r="442" spans="1:10">
      <c r="A442" s="71"/>
      <c r="B442" s="72"/>
      <c r="C442" s="71"/>
      <c r="D442" s="71"/>
      <c r="E442" s="71"/>
      <c r="F442" s="71"/>
      <c r="G442" s="71"/>
      <c r="H442" s="71"/>
      <c r="I442" s="71"/>
      <c r="J442" s="71"/>
    </row>
    <row r="443" spans="1:10">
      <c r="A443" s="71"/>
      <c r="B443" s="72"/>
      <c r="C443" s="71"/>
      <c r="D443" s="71"/>
      <c r="E443" s="71"/>
      <c r="F443" s="71"/>
      <c r="G443" s="71"/>
      <c r="H443" s="71"/>
      <c r="I443" s="71"/>
      <c r="J443" s="71"/>
    </row>
    <row r="444" spans="1:10">
      <c r="A444" s="71"/>
      <c r="B444" s="72"/>
      <c r="C444" s="71"/>
      <c r="D444" s="71"/>
      <c r="E444" s="71"/>
      <c r="F444" s="71"/>
      <c r="G444" s="71"/>
      <c r="H444" s="71"/>
      <c r="I444" s="71"/>
      <c r="J444" s="71"/>
    </row>
    <row r="445" spans="1:10">
      <c r="A445" s="71"/>
      <c r="B445" s="72"/>
      <c r="C445" s="71"/>
      <c r="D445" s="71"/>
      <c r="E445" s="71"/>
      <c r="F445" s="71"/>
      <c r="G445" s="71"/>
      <c r="H445" s="71"/>
      <c r="I445" s="71"/>
      <c r="J445" s="71"/>
    </row>
    <row r="446" spans="1:10">
      <c r="A446" s="71"/>
      <c r="B446" s="72"/>
      <c r="C446" s="71"/>
      <c r="D446" s="71"/>
      <c r="E446" s="71"/>
      <c r="F446" s="71"/>
      <c r="G446" s="71"/>
      <c r="H446" s="71"/>
      <c r="I446" s="71"/>
      <c r="J446" s="71"/>
    </row>
    <row r="447" spans="1:10">
      <c r="A447" s="71"/>
      <c r="B447" s="72"/>
      <c r="C447" s="71"/>
      <c r="D447" s="71"/>
      <c r="E447" s="71"/>
      <c r="F447" s="71"/>
      <c r="G447" s="71"/>
      <c r="H447" s="71"/>
      <c r="I447" s="71"/>
      <c r="J447" s="71"/>
    </row>
    <row r="448" spans="1:10">
      <c r="A448" s="71"/>
      <c r="B448" s="72"/>
      <c r="C448" s="71"/>
      <c r="D448" s="71"/>
      <c r="E448" s="71"/>
      <c r="F448" s="71"/>
      <c r="G448" s="71"/>
      <c r="H448" s="71"/>
      <c r="I448" s="71"/>
      <c r="J448" s="71"/>
    </row>
    <row r="449" spans="1:10">
      <c r="A449" s="71"/>
      <c r="B449" s="72"/>
      <c r="C449" s="71"/>
      <c r="D449" s="71"/>
      <c r="E449" s="71"/>
      <c r="F449" s="71"/>
      <c r="G449" s="71"/>
      <c r="H449" s="71"/>
      <c r="I449" s="71"/>
      <c r="J449" s="71"/>
    </row>
    <row r="450" spans="1:10">
      <c r="A450" s="71"/>
      <c r="B450" s="72"/>
      <c r="C450" s="71"/>
      <c r="D450" s="71"/>
      <c r="E450" s="71"/>
      <c r="F450" s="71"/>
      <c r="G450" s="71"/>
      <c r="H450" s="71"/>
      <c r="I450" s="71"/>
      <c r="J450" s="71"/>
    </row>
    <row r="451" spans="1:10">
      <c r="A451" s="71"/>
      <c r="B451" s="72"/>
      <c r="C451" s="71"/>
      <c r="D451" s="71"/>
      <c r="E451" s="71"/>
      <c r="F451" s="71"/>
      <c r="G451" s="71"/>
      <c r="H451" s="71"/>
      <c r="I451" s="71"/>
      <c r="J451" s="71"/>
    </row>
    <row r="452" spans="1:10">
      <c r="A452" s="71"/>
      <c r="B452" s="72"/>
      <c r="C452" s="71"/>
      <c r="D452" s="71"/>
      <c r="E452" s="71"/>
      <c r="F452" s="71"/>
      <c r="G452" s="71"/>
      <c r="H452" s="71"/>
      <c r="I452" s="71"/>
      <c r="J452" s="71"/>
    </row>
    <row r="453" spans="1:10">
      <c r="A453" s="71"/>
      <c r="B453" s="72"/>
      <c r="C453" s="71"/>
      <c r="D453" s="71"/>
      <c r="E453" s="71"/>
      <c r="F453" s="71"/>
      <c r="G453" s="71"/>
      <c r="H453" s="71"/>
      <c r="I453" s="71"/>
      <c r="J453" s="71"/>
    </row>
    <row r="454" spans="1:10">
      <c r="A454" s="71"/>
      <c r="B454" s="72"/>
      <c r="C454" s="71"/>
      <c r="D454" s="71"/>
      <c r="E454" s="71"/>
      <c r="F454" s="71"/>
      <c r="G454" s="71"/>
      <c r="H454" s="71"/>
      <c r="I454" s="71"/>
      <c r="J454" s="71"/>
    </row>
    <row r="455" spans="1:10">
      <c r="A455" s="71"/>
      <c r="B455" s="72"/>
      <c r="C455" s="71"/>
      <c r="D455" s="71"/>
      <c r="E455" s="71"/>
      <c r="F455" s="71"/>
      <c r="G455" s="71"/>
      <c r="H455" s="71"/>
      <c r="I455" s="71"/>
      <c r="J455" s="71"/>
    </row>
    <row r="456" spans="1:10">
      <c r="A456" s="71"/>
      <c r="B456" s="72"/>
      <c r="C456" s="71"/>
      <c r="D456" s="71"/>
      <c r="E456" s="71"/>
      <c r="F456" s="71"/>
      <c r="G456" s="71"/>
      <c r="H456" s="71"/>
      <c r="I456" s="71"/>
      <c r="J456" s="71"/>
    </row>
    <row r="457" spans="1:10">
      <c r="A457" s="71"/>
      <c r="B457" s="72"/>
      <c r="C457" s="71"/>
      <c r="D457" s="71"/>
      <c r="E457" s="71"/>
      <c r="F457" s="71"/>
      <c r="G457" s="71"/>
      <c r="H457" s="71"/>
      <c r="I457" s="71"/>
      <c r="J457" s="71"/>
    </row>
    <row r="458" spans="1:10">
      <c r="A458" s="71"/>
      <c r="B458" s="72"/>
      <c r="C458" s="71"/>
      <c r="D458" s="71"/>
      <c r="E458" s="71"/>
      <c r="F458" s="71"/>
      <c r="G458" s="71"/>
      <c r="H458" s="71"/>
      <c r="I458" s="71"/>
      <c r="J458" s="71"/>
    </row>
    <row r="459" spans="1:10">
      <c r="A459" s="71"/>
      <c r="B459" s="72"/>
      <c r="C459" s="71"/>
      <c r="D459" s="71"/>
      <c r="E459" s="71"/>
      <c r="F459" s="71"/>
      <c r="G459" s="71"/>
      <c r="H459" s="71"/>
      <c r="I459" s="71"/>
      <c r="J459" s="71"/>
    </row>
    <row r="460" spans="1:10">
      <c r="A460" s="71"/>
      <c r="B460" s="72"/>
      <c r="C460" s="71"/>
      <c r="D460" s="71"/>
      <c r="E460" s="71"/>
      <c r="F460" s="71"/>
      <c r="G460" s="71"/>
      <c r="H460" s="71"/>
      <c r="I460" s="71"/>
      <c r="J460" s="71"/>
    </row>
    <row r="461" spans="1:10">
      <c r="A461" s="71"/>
      <c r="B461" s="72"/>
      <c r="C461" s="71"/>
      <c r="D461" s="71"/>
      <c r="E461" s="71"/>
      <c r="F461" s="71"/>
      <c r="G461" s="71"/>
      <c r="H461" s="71"/>
      <c r="I461" s="71"/>
      <c r="J461" s="71"/>
    </row>
    <row r="462" spans="1:10">
      <c r="A462" s="71"/>
      <c r="B462" s="72"/>
      <c r="C462" s="71"/>
      <c r="D462" s="71"/>
      <c r="E462" s="71"/>
      <c r="F462" s="71"/>
      <c r="G462" s="71"/>
      <c r="H462" s="71"/>
      <c r="I462" s="71"/>
      <c r="J462" s="71"/>
    </row>
    <row r="463" spans="1:10">
      <c r="A463" s="71"/>
      <c r="B463" s="72"/>
      <c r="C463" s="71"/>
      <c r="D463" s="71"/>
      <c r="E463" s="71"/>
      <c r="F463" s="71"/>
      <c r="G463" s="71"/>
      <c r="H463" s="71"/>
      <c r="I463" s="71"/>
      <c r="J463" s="71"/>
    </row>
    <row r="464" spans="1:10">
      <c r="A464" s="71"/>
      <c r="B464" s="72"/>
      <c r="C464" s="71"/>
      <c r="D464" s="71"/>
      <c r="E464" s="71"/>
      <c r="F464" s="71"/>
      <c r="G464" s="71"/>
      <c r="H464" s="71"/>
      <c r="I464" s="71"/>
      <c r="J464" s="71"/>
    </row>
    <row r="465" spans="1:10">
      <c r="A465" s="71"/>
      <c r="B465" s="72"/>
      <c r="C465" s="71"/>
      <c r="D465" s="71"/>
      <c r="E465" s="71"/>
      <c r="F465" s="71"/>
      <c r="G465" s="71"/>
      <c r="H465" s="71"/>
      <c r="I465" s="71"/>
      <c r="J465" s="71"/>
    </row>
    <row r="466" spans="1:10">
      <c r="A466" s="71"/>
      <c r="B466" s="72"/>
      <c r="C466" s="71"/>
      <c r="D466" s="71"/>
      <c r="E466" s="71"/>
      <c r="F466" s="71"/>
      <c r="G466" s="71"/>
      <c r="H466" s="71"/>
      <c r="I466" s="71"/>
      <c r="J466" s="71"/>
    </row>
    <row r="467" spans="1:10">
      <c r="A467" s="71"/>
      <c r="B467" s="72"/>
      <c r="C467" s="71"/>
      <c r="D467" s="71"/>
      <c r="E467" s="71"/>
      <c r="F467" s="71"/>
      <c r="G467" s="71"/>
      <c r="H467" s="71"/>
      <c r="I467" s="71"/>
      <c r="J467" s="71"/>
    </row>
    <row r="468" spans="1:10">
      <c r="A468" s="71"/>
      <c r="B468" s="72"/>
      <c r="C468" s="71"/>
      <c r="D468" s="71"/>
      <c r="E468" s="71"/>
      <c r="F468" s="71"/>
      <c r="G468" s="71"/>
      <c r="H468" s="71"/>
      <c r="I468" s="71"/>
      <c r="J468" s="71"/>
    </row>
    <row r="469" spans="1:10">
      <c r="A469" s="71"/>
      <c r="B469" s="72"/>
      <c r="C469" s="71"/>
      <c r="D469" s="71"/>
      <c r="E469" s="71"/>
      <c r="F469" s="71"/>
      <c r="G469" s="71"/>
      <c r="H469" s="71"/>
      <c r="I469" s="71"/>
      <c r="J469" s="71"/>
    </row>
    <row r="470" spans="1:10">
      <c r="A470" s="71"/>
      <c r="B470" s="72"/>
      <c r="C470" s="71"/>
      <c r="D470" s="71"/>
      <c r="E470" s="71"/>
      <c r="F470" s="71"/>
      <c r="G470" s="71"/>
      <c r="H470" s="71"/>
      <c r="I470" s="71"/>
      <c r="J470" s="71"/>
    </row>
    <row r="471" spans="1:10">
      <c r="A471" s="71"/>
      <c r="B471" s="72"/>
      <c r="C471" s="71"/>
      <c r="D471" s="71"/>
      <c r="E471" s="71"/>
      <c r="F471" s="71"/>
      <c r="G471" s="71"/>
      <c r="H471" s="71"/>
      <c r="I471" s="71"/>
      <c r="J471" s="71"/>
    </row>
    <row r="472" spans="1:10">
      <c r="A472" s="71"/>
      <c r="B472" s="72"/>
      <c r="C472" s="71"/>
      <c r="D472" s="71"/>
      <c r="E472" s="71"/>
      <c r="F472" s="71"/>
      <c r="G472" s="71"/>
      <c r="H472" s="71"/>
      <c r="I472" s="71"/>
      <c r="J472" s="71"/>
    </row>
    <row r="473" spans="1:10">
      <c r="A473" s="71"/>
      <c r="B473" s="72"/>
      <c r="C473" s="71"/>
      <c r="D473" s="71"/>
      <c r="E473" s="71"/>
      <c r="F473" s="71"/>
      <c r="G473" s="71"/>
      <c r="H473" s="71"/>
      <c r="I473" s="71"/>
      <c r="J473" s="71"/>
    </row>
    <row r="474" spans="1:10">
      <c r="A474" s="71"/>
      <c r="B474" s="72"/>
      <c r="C474" s="71"/>
      <c r="D474" s="71"/>
      <c r="E474" s="71"/>
      <c r="F474" s="71"/>
      <c r="G474" s="71"/>
      <c r="H474" s="71"/>
      <c r="I474" s="71"/>
      <c r="J474" s="71"/>
    </row>
    <row r="475" spans="1:10">
      <c r="A475" s="71"/>
      <c r="B475" s="72"/>
      <c r="C475" s="71"/>
      <c r="D475" s="71"/>
      <c r="E475" s="71"/>
      <c r="F475" s="71"/>
      <c r="G475" s="71"/>
      <c r="H475" s="71"/>
      <c r="I475" s="71"/>
      <c r="J475" s="71"/>
    </row>
    <row r="476" spans="1:10">
      <c r="A476" s="71"/>
      <c r="B476" s="72"/>
      <c r="C476" s="71"/>
      <c r="D476" s="71"/>
      <c r="E476" s="71"/>
      <c r="F476" s="71"/>
      <c r="G476" s="71"/>
      <c r="H476" s="71"/>
      <c r="I476" s="71"/>
      <c r="J476" s="71"/>
    </row>
    <row r="477" spans="1:10">
      <c r="A477" s="71"/>
      <c r="B477" s="72"/>
      <c r="C477" s="71"/>
      <c r="D477" s="71"/>
      <c r="E477" s="71"/>
      <c r="F477" s="71"/>
      <c r="G477" s="71"/>
      <c r="H477" s="71"/>
      <c r="I477" s="71"/>
      <c r="J477" s="71"/>
    </row>
    <row r="478" spans="1:10">
      <c r="A478" s="71"/>
      <c r="B478" s="72"/>
      <c r="C478" s="71"/>
      <c r="D478" s="71"/>
      <c r="E478" s="71"/>
      <c r="F478" s="71"/>
      <c r="G478" s="71"/>
      <c r="H478" s="71"/>
      <c r="I478" s="71"/>
      <c r="J478" s="71"/>
    </row>
    <row r="479" spans="1:10">
      <c r="A479" s="71"/>
      <c r="B479" s="72"/>
      <c r="C479" s="71"/>
      <c r="D479" s="71"/>
      <c r="E479" s="71"/>
      <c r="F479" s="71"/>
      <c r="G479" s="71"/>
      <c r="H479" s="71"/>
      <c r="I479" s="71"/>
      <c r="J479" s="71"/>
    </row>
    <row r="480" spans="1:10">
      <c r="A480" s="71"/>
      <c r="B480" s="72"/>
      <c r="C480" s="71"/>
      <c r="D480" s="71"/>
      <c r="E480" s="71"/>
      <c r="F480" s="71"/>
      <c r="G480" s="71"/>
      <c r="H480" s="71"/>
      <c r="I480" s="71"/>
      <c r="J480" s="71"/>
    </row>
    <row r="481" spans="1:10">
      <c r="A481" s="71"/>
      <c r="B481" s="72"/>
      <c r="C481" s="71"/>
      <c r="D481" s="71"/>
      <c r="E481" s="71"/>
      <c r="F481" s="71"/>
      <c r="G481" s="71"/>
      <c r="H481" s="71"/>
      <c r="I481" s="71"/>
      <c r="J481" s="71"/>
    </row>
    <row r="482" spans="1:10">
      <c r="A482" s="71"/>
      <c r="B482" s="72"/>
      <c r="C482" s="71"/>
      <c r="D482" s="71"/>
      <c r="E482" s="71"/>
      <c r="F482" s="71"/>
      <c r="G482" s="71"/>
      <c r="H482" s="71"/>
      <c r="I482" s="71"/>
      <c r="J482" s="71"/>
    </row>
    <row r="483" spans="1:10">
      <c r="A483" s="71"/>
      <c r="B483" s="72"/>
      <c r="C483" s="71"/>
      <c r="D483" s="71"/>
      <c r="E483" s="71"/>
      <c r="F483" s="71"/>
      <c r="G483" s="71"/>
      <c r="H483" s="71"/>
      <c r="I483" s="71"/>
      <c r="J483" s="71"/>
    </row>
    <row r="484" spans="1:10">
      <c r="A484" s="71"/>
      <c r="B484" s="72"/>
      <c r="C484" s="71"/>
      <c r="D484" s="71"/>
      <c r="E484" s="71"/>
      <c r="F484" s="71"/>
      <c r="G484" s="71"/>
      <c r="H484" s="71"/>
      <c r="I484" s="71"/>
      <c r="J484" s="71"/>
    </row>
    <row r="485" spans="1:10">
      <c r="A485" s="71"/>
      <c r="B485" s="72"/>
      <c r="C485" s="71"/>
      <c r="D485" s="71"/>
      <c r="E485" s="71"/>
      <c r="F485" s="71"/>
      <c r="G485" s="71"/>
      <c r="H485" s="71"/>
      <c r="I485" s="71"/>
      <c r="J485" s="71"/>
    </row>
    <row r="486" spans="1:10">
      <c r="A486" s="71"/>
      <c r="B486" s="72"/>
      <c r="C486" s="71"/>
      <c r="D486" s="71"/>
      <c r="E486" s="71"/>
      <c r="F486" s="71"/>
      <c r="G486" s="71"/>
      <c r="H486" s="71"/>
      <c r="I486" s="71"/>
      <c r="J486" s="71"/>
    </row>
    <row r="487" spans="1:10">
      <c r="A487" s="71"/>
      <c r="B487" s="72"/>
      <c r="C487" s="71"/>
      <c r="D487" s="71"/>
      <c r="E487" s="71"/>
      <c r="F487" s="71"/>
      <c r="G487" s="71"/>
      <c r="H487" s="71"/>
      <c r="I487" s="71"/>
      <c r="J487" s="71"/>
    </row>
    <row r="488" spans="1:10">
      <c r="A488" s="71"/>
      <c r="B488" s="72"/>
      <c r="C488" s="71"/>
      <c r="D488" s="71"/>
      <c r="E488" s="71"/>
      <c r="F488" s="71"/>
      <c r="G488" s="71"/>
      <c r="H488" s="71"/>
      <c r="I488" s="71"/>
      <c r="J488" s="71"/>
    </row>
    <row r="489" spans="1:10">
      <c r="A489" s="71"/>
      <c r="B489" s="72"/>
      <c r="C489" s="71"/>
      <c r="D489" s="71"/>
      <c r="E489" s="71"/>
      <c r="F489" s="71"/>
      <c r="G489" s="71"/>
      <c r="H489" s="71"/>
      <c r="I489" s="71"/>
      <c r="J489" s="71"/>
    </row>
    <row r="490" spans="1:10">
      <c r="A490" s="71"/>
      <c r="B490" s="72"/>
      <c r="C490" s="71"/>
      <c r="D490" s="71"/>
      <c r="E490" s="71"/>
      <c r="F490" s="71"/>
      <c r="G490" s="71"/>
      <c r="H490" s="71"/>
      <c r="I490" s="71"/>
      <c r="J490" s="71"/>
    </row>
    <row r="491" spans="1:10">
      <c r="A491" s="71"/>
      <c r="B491" s="72"/>
      <c r="C491" s="71"/>
      <c r="D491" s="71"/>
      <c r="E491" s="71"/>
      <c r="F491" s="71"/>
      <c r="G491" s="71"/>
      <c r="H491" s="71"/>
      <c r="I491" s="71"/>
      <c r="J491" s="71"/>
    </row>
    <row r="492" spans="1:10">
      <c r="A492" s="71"/>
      <c r="B492" s="72"/>
      <c r="C492" s="71"/>
      <c r="D492" s="71"/>
      <c r="E492" s="71"/>
      <c r="F492" s="71"/>
      <c r="G492" s="71"/>
      <c r="H492" s="71"/>
      <c r="I492" s="71"/>
      <c r="J492" s="71"/>
    </row>
    <row r="493" spans="1:10">
      <c r="A493" s="71"/>
      <c r="B493" s="72"/>
      <c r="C493" s="71"/>
      <c r="D493" s="71"/>
      <c r="E493" s="71"/>
      <c r="F493" s="71"/>
      <c r="G493" s="71"/>
      <c r="H493" s="71"/>
      <c r="I493" s="71"/>
      <c r="J493" s="71"/>
    </row>
    <row r="494" spans="1:10">
      <c r="A494" s="71"/>
      <c r="B494" s="72"/>
      <c r="C494" s="71"/>
      <c r="D494" s="71"/>
      <c r="E494" s="71"/>
      <c r="F494" s="71"/>
      <c r="G494" s="71"/>
      <c r="H494" s="71"/>
      <c r="I494" s="71"/>
      <c r="J494" s="71"/>
    </row>
    <row r="495" spans="1:10">
      <c r="A495" s="71"/>
      <c r="B495" s="72"/>
      <c r="C495" s="71"/>
      <c r="D495" s="71"/>
      <c r="E495" s="71"/>
      <c r="F495" s="71"/>
      <c r="G495" s="71"/>
      <c r="H495" s="71"/>
      <c r="I495" s="71"/>
      <c r="J495" s="71"/>
    </row>
    <row r="496" spans="1:10">
      <c r="A496" s="71"/>
      <c r="B496" s="72"/>
      <c r="C496" s="71"/>
      <c r="D496" s="71"/>
      <c r="E496" s="71"/>
      <c r="F496" s="71"/>
      <c r="G496" s="71"/>
      <c r="H496" s="71"/>
      <c r="I496" s="71"/>
      <c r="J496" s="71"/>
    </row>
    <row r="497" spans="1:10">
      <c r="A497" s="71"/>
      <c r="B497" s="72"/>
      <c r="C497" s="71"/>
      <c r="D497" s="71"/>
      <c r="E497" s="71"/>
      <c r="F497" s="71"/>
      <c r="G497" s="71"/>
      <c r="H497" s="71"/>
      <c r="I497" s="71"/>
      <c r="J497" s="71"/>
    </row>
    <row r="498" spans="1:10">
      <c r="A498" s="71"/>
      <c r="B498" s="72"/>
      <c r="C498" s="71"/>
      <c r="D498" s="71"/>
      <c r="E498" s="71"/>
      <c r="F498" s="71"/>
      <c r="G498" s="71"/>
      <c r="H498" s="71"/>
      <c r="I498" s="71"/>
      <c r="J498" s="71"/>
    </row>
    <row r="499" spans="1:10">
      <c r="A499" s="71"/>
      <c r="B499" s="72"/>
      <c r="C499" s="71"/>
      <c r="D499" s="71"/>
      <c r="E499" s="71"/>
      <c r="F499" s="71"/>
      <c r="G499" s="71"/>
      <c r="H499" s="71"/>
      <c r="I499" s="71"/>
      <c r="J499" s="71"/>
    </row>
    <row r="500" spans="1:10">
      <c r="A500" s="71"/>
      <c r="B500" s="72"/>
      <c r="C500" s="71"/>
      <c r="D500" s="71"/>
      <c r="E500" s="71"/>
      <c r="F500" s="71"/>
      <c r="G500" s="71"/>
      <c r="H500" s="71"/>
      <c r="I500" s="71"/>
      <c r="J500" s="71"/>
    </row>
    <row r="501" spans="1:10">
      <c r="A501" s="71"/>
      <c r="B501" s="72"/>
      <c r="C501" s="71"/>
      <c r="D501" s="71"/>
      <c r="E501" s="71"/>
      <c r="F501" s="71"/>
      <c r="G501" s="71"/>
      <c r="H501" s="71"/>
      <c r="I501" s="71"/>
      <c r="J501" s="71"/>
    </row>
    <row r="502" spans="1:10">
      <c r="A502" s="71"/>
      <c r="B502" s="72"/>
      <c r="C502" s="71"/>
      <c r="D502" s="71"/>
      <c r="E502" s="71"/>
      <c r="F502" s="71"/>
      <c r="G502" s="71"/>
      <c r="H502" s="71"/>
      <c r="I502" s="71"/>
      <c r="J502" s="71"/>
    </row>
    <row r="503" spans="1:10">
      <c r="A503" s="71"/>
      <c r="B503" s="72"/>
      <c r="C503" s="71"/>
      <c r="D503" s="71"/>
      <c r="E503" s="71"/>
      <c r="F503" s="71"/>
      <c r="G503" s="71"/>
      <c r="H503" s="71"/>
      <c r="I503" s="71"/>
      <c r="J503" s="71"/>
    </row>
    <row r="504" spans="1:10">
      <c r="A504" s="71"/>
      <c r="B504" s="72"/>
      <c r="C504" s="71"/>
      <c r="D504" s="71"/>
      <c r="E504" s="71"/>
      <c r="F504" s="71"/>
      <c r="G504" s="71"/>
      <c r="H504" s="71"/>
      <c r="I504" s="71"/>
      <c r="J504" s="71"/>
    </row>
    <row r="505" spans="1:10">
      <c r="A505" s="71"/>
      <c r="B505" s="72"/>
      <c r="C505" s="71"/>
      <c r="D505" s="71"/>
      <c r="E505" s="71"/>
      <c r="F505" s="71"/>
      <c r="G505" s="71"/>
      <c r="H505" s="71"/>
      <c r="I505" s="71"/>
      <c r="J505" s="71"/>
    </row>
    <row r="506" spans="1:10">
      <c r="A506" s="71"/>
      <c r="B506" s="72"/>
      <c r="C506" s="71"/>
      <c r="D506" s="71"/>
      <c r="E506" s="71"/>
      <c r="F506" s="71"/>
      <c r="G506" s="71"/>
      <c r="H506" s="71"/>
      <c r="I506" s="71"/>
      <c r="J506" s="71"/>
    </row>
    <row r="507" spans="1:10">
      <c r="A507" s="71"/>
      <c r="B507" s="72"/>
      <c r="C507" s="71"/>
      <c r="D507" s="71"/>
      <c r="E507" s="71"/>
      <c r="F507" s="71"/>
      <c r="G507" s="71"/>
      <c r="H507" s="71"/>
      <c r="I507" s="71"/>
      <c r="J507" s="71"/>
    </row>
    <row r="508" spans="1:10">
      <c r="A508" s="71"/>
      <c r="B508" s="72"/>
      <c r="C508" s="71"/>
      <c r="D508" s="71"/>
      <c r="E508" s="71"/>
      <c r="F508" s="71"/>
      <c r="G508" s="71"/>
      <c r="H508" s="71"/>
      <c r="I508" s="71"/>
      <c r="J508" s="71"/>
    </row>
    <row r="509" spans="1:10">
      <c r="A509" s="71"/>
      <c r="B509" s="72"/>
      <c r="C509" s="71"/>
      <c r="D509" s="71"/>
      <c r="E509" s="71"/>
      <c r="F509" s="71"/>
      <c r="G509" s="71"/>
      <c r="H509" s="71"/>
      <c r="I509" s="71"/>
      <c r="J509" s="71"/>
    </row>
    <row r="510" spans="1:10">
      <c r="A510" s="71"/>
      <c r="B510" s="72"/>
      <c r="C510" s="71"/>
      <c r="D510" s="71"/>
      <c r="E510" s="71"/>
      <c r="F510" s="71"/>
      <c r="G510" s="71"/>
      <c r="H510" s="71"/>
      <c r="I510" s="71"/>
      <c r="J510" s="71"/>
    </row>
    <row r="511" spans="1:10">
      <c r="A511" s="71"/>
      <c r="B511" s="72"/>
      <c r="C511" s="71"/>
      <c r="D511" s="71"/>
      <c r="E511" s="71"/>
      <c r="F511" s="71"/>
      <c r="G511" s="71"/>
      <c r="H511" s="71"/>
      <c r="I511" s="71"/>
      <c r="J511" s="71"/>
    </row>
    <row r="512" spans="1:10">
      <c r="A512" s="71"/>
      <c r="B512" s="72"/>
      <c r="C512" s="71"/>
      <c r="D512" s="71"/>
      <c r="E512" s="71"/>
      <c r="F512" s="71"/>
      <c r="G512" s="71"/>
      <c r="H512" s="71"/>
      <c r="I512" s="71"/>
      <c r="J512" s="71"/>
    </row>
    <row r="513" spans="1:10">
      <c r="A513" s="71"/>
      <c r="B513" s="72"/>
      <c r="C513" s="71"/>
      <c r="D513" s="71"/>
      <c r="E513" s="71"/>
      <c r="F513" s="71"/>
      <c r="G513" s="71"/>
      <c r="H513" s="71"/>
      <c r="I513" s="71"/>
      <c r="J513" s="71"/>
    </row>
    <row r="514" spans="1:10">
      <c r="A514" s="71"/>
      <c r="B514" s="72"/>
      <c r="C514" s="71"/>
      <c r="D514" s="71"/>
      <c r="E514" s="71"/>
      <c r="F514" s="71"/>
      <c r="G514" s="71"/>
      <c r="H514" s="71"/>
      <c r="I514" s="71"/>
      <c r="J514" s="71"/>
    </row>
    <row r="515" spans="1:10">
      <c r="A515" s="71"/>
      <c r="B515" s="72"/>
      <c r="C515" s="71"/>
      <c r="D515" s="71"/>
      <c r="E515" s="71"/>
      <c r="F515" s="71"/>
      <c r="G515" s="71"/>
      <c r="H515" s="71"/>
      <c r="I515" s="71"/>
      <c r="J515" s="71"/>
    </row>
    <row r="516" spans="1:10">
      <c r="A516" s="71"/>
      <c r="B516" s="72"/>
      <c r="C516" s="71"/>
      <c r="D516" s="71"/>
      <c r="E516" s="71"/>
      <c r="F516" s="71"/>
      <c r="G516" s="71"/>
      <c r="H516" s="71"/>
      <c r="I516" s="71"/>
      <c r="J516" s="71"/>
    </row>
    <row r="517" spans="1:10">
      <c r="A517" s="71"/>
      <c r="B517" s="72"/>
      <c r="C517" s="71"/>
      <c r="D517" s="71"/>
      <c r="E517" s="71"/>
      <c r="F517" s="71"/>
      <c r="G517" s="71"/>
      <c r="H517" s="71"/>
      <c r="I517" s="71"/>
      <c r="J517" s="71"/>
    </row>
    <row r="518" spans="1:10">
      <c r="A518" s="71"/>
      <c r="B518" s="72"/>
      <c r="C518" s="71"/>
      <c r="D518" s="71"/>
      <c r="E518" s="71"/>
      <c r="F518" s="71"/>
      <c r="G518" s="71"/>
      <c r="H518" s="71"/>
      <c r="I518" s="71"/>
      <c r="J518" s="71"/>
    </row>
    <row r="519" spans="1:10">
      <c r="A519" s="71"/>
      <c r="B519" s="72"/>
      <c r="C519" s="71"/>
      <c r="D519" s="71"/>
      <c r="E519" s="71"/>
      <c r="F519" s="71"/>
      <c r="G519" s="71"/>
      <c r="H519" s="71"/>
      <c r="I519" s="71"/>
      <c r="J519" s="71"/>
    </row>
    <row r="520" spans="1:10">
      <c r="A520" s="71"/>
      <c r="B520" s="72"/>
      <c r="C520" s="71"/>
      <c r="D520" s="71"/>
      <c r="E520" s="71"/>
      <c r="F520" s="71"/>
      <c r="G520" s="71"/>
      <c r="H520" s="71"/>
      <c r="I520" s="71"/>
      <c r="J520" s="71"/>
    </row>
    <row r="521" spans="1:10">
      <c r="A521" s="71"/>
      <c r="B521" s="72"/>
      <c r="C521" s="71"/>
      <c r="D521" s="71"/>
      <c r="E521" s="71"/>
      <c r="F521" s="71"/>
      <c r="G521" s="71"/>
      <c r="H521" s="71"/>
      <c r="I521" s="71"/>
      <c r="J521" s="71"/>
    </row>
    <row r="522" spans="1:10">
      <c r="A522" s="71"/>
      <c r="B522" s="72"/>
      <c r="C522" s="71"/>
      <c r="D522" s="71"/>
      <c r="E522" s="71"/>
      <c r="F522" s="71"/>
      <c r="G522" s="71"/>
      <c r="H522" s="71"/>
      <c r="I522" s="71"/>
      <c r="J522" s="71"/>
    </row>
    <row r="523" spans="1:10">
      <c r="A523" s="71"/>
      <c r="B523" s="72"/>
      <c r="C523" s="71"/>
      <c r="D523" s="71"/>
      <c r="E523" s="71"/>
      <c r="F523" s="71"/>
      <c r="G523" s="71"/>
      <c r="H523" s="71"/>
      <c r="I523" s="71"/>
      <c r="J523" s="71"/>
    </row>
    <row r="524" spans="1:10">
      <c r="A524" s="71"/>
      <c r="B524" s="72"/>
      <c r="C524" s="71"/>
      <c r="D524" s="71"/>
      <c r="E524" s="71"/>
      <c r="F524" s="71"/>
      <c r="G524" s="71"/>
      <c r="H524" s="71"/>
      <c r="I524" s="71"/>
      <c r="J524" s="71"/>
    </row>
    <row r="525" spans="1:10">
      <c r="A525" s="71"/>
      <c r="B525" s="72"/>
      <c r="C525" s="71"/>
      <c r="D525" s="71"/>
      <c r="E525" s="71"/>
      <c r="F525" s="71"/>
      <c r="G525" s="71"/>
      <c r="H525" s="71"/>
      <c r="I525" s="71"/>
      <c r="J525" s="71"/>
    </row>
    <row r="526" spans="1:10">
      <c r="A526" s="71"/>
      <c r="B526" s="72"/>
      <c r="C526" s="71"/>
      <c r="D526" s="71"/>
      <c r="E526" s="71"/>
      <c r="F526" s="71"/>
      <c r="G526" s="71"/>
      <c r="H526" s="71"/>
      <c r="I526" s="71"/>
      <c r="J526" s="71"/>
    </row>
    <row r="527" spans="1:10">
      <c r="A527" s="71"/>
      <c r="B527" s="72"/>
      <c r="C527" s="71"/>
      <c r="D527" s="71"/>
      <c r="E527" s="71"/>
      <c r="F527" s="71"/>
      <c r="G527" s="71"/>
      <c r="H527" s="71"/>
      <c r="I527" s="71"/>
      <c r="J527" s="71"/>
    </row>
    <row r="528" spans="1:10">
      <c r="A528" s="71"/>
      <c r="B528" s="72"/>
      <c r="C528" s="71"/>
      <c r="D528" s="71"/>
      <c r="E528" s="71"/>
      <c r="F528" s="71"/>
      <c r="G528" s="71"/>
      <c r="H528" s="71"/>
      <c r="I528" s="71"/>
      <c r="J528" s="71"/>
    </row>
    <row r="529" spans="1:10">
      <c r="A529" s="71"/>
      <c r="B529" s="72"/>
      <c r="C529" s="71"/>
      <c r="D529" s="71"/>
      <c r="E529" s="71"/>
      <c r="F529" s="71"/>
      <c r="G529" s="71"/>
      <c r="H529" s="71"/>
      <c r="I529" s="71"/>
      <c r="J529" s="71"/>
    </row>
    <row r="530" spans="1:10">
      <c r="A530" s="71"/>
      <c r="B530" s="72"/>
      <c r="C530" s="71"/>
      <c r="D530" s="71"/>
      <c r="E530" s="71"/>
      <c r="F530" s="71"/>
      <c r="G530" s="71"/>
      <c r="H530" s="71"/>
      <c r="I530" s="71"/>
      <c r="J530" s="71"/>
    </row>
    <row r="531" spans="1:10">
      <c r="A531" s="71"/>
      <c r="B531" s="72"/>
      <c r="C531" s="71"/>
      <c r="D531" s="71"/>
      <c r="E531" s="71"/>
      <c r="F531" s="71"/>
      <c r="G531" s="71"/>
      <c r="H531" s="71"/>
      <c r="I531" s="71"/>
      <c r="J531" s="71"/>
    </row>
    <row r="532" spans="1:10">
      <c r="A532" s="71"/>
      <c r="B532" s="72"/>
      <c r="C532" s="71"/>
      <c r="D532" s="71"/>
      <c r="E532" s="71"/>
      <c r="F532" s="71"/>
      <c r="G532" s="71"/>
      <c r="H532" s="71"/>
      <c r="I532" s="71"/>
      <c r="J532" s="71"/>
    </row>
    <row r="533" spans="1:10">
      <c r="A533" s="71"/>
      <c r="B533" s="72"/>
      <c r="C533" s="71"/>
      <c r="D533" s="71"/>
      <c r="E533" s="71"/>
      <c r="F533" s="71"/>
      <c r="G533" s="71"/>
      <c r="H533" s="71"/>
      <c r="I533" s="71"/>
      <c r="J533" s="71"/>
    </row>
    <row r="534" spans="1:10">
      <c r="A534" s="71"/>
      <c r="B534" s="72"/>
      <c r="C534" s="71"/>
      <c r="D534" s="71"/>
      <c r="E534" s="71"/>
      <c r="F534" s="71"/>
      <c r="G534" s="71"/>
      <c r="H534" s="71"/>
      <c r="I534" s="71"/>
      <c r="J534" s="71"/>
    </row>
    <row r="535" spans="1:10">
      <c r="A535" s="71"/>
      <c r="B535" s="72"/>
      <c r="C535" s="71"/>
      <c r="D535" s="71"/>
      <c r="E535" s="71"/>
      <c r="F535" s="71"/>
      <c r="G535" s="71"/>
      <c r="H535" s="71"/>
      <c r="I535" s="71"/>
      <c r="J535" s="71"/>
    </row>
    <row r="536" spans="1:10">
      <c r="A536" s="71"/>
      <c r="B536" s="72"/>
      <c r="C536" s="71"/>
      <c r="D536" s="71"/>
      <c r="E536" s="71"/>
      <c r="F536" s="71"/>
      <c r="G536" s="71"/>
      <c r="H536" s="71"/>
      <c r="I536" s="71"/>
      <c r="J536" s="71"/>
    </row>
    <row r="537" spans="1:10">
      <c r="A537" s="71"/>
      <c r="B537" s="72"/>
      <c r="C537" s="71"/>
      <c r="D537" s="71"/>
      <c r="E537" s="71"/>
      <c r="F537" s="71"/>
      <c r="G537" s="71"/>
      <c r="H537" s="71"/>
      <c r="I537" s="71"/>
      <c r="J537" s="71"/>
    </row>
    <row r="538" spans="1:10">
      <c r="A538" s="71"/>
      <c r="B538" s="72"/>
      <c r="C538" s="71"/>
      <c r="D538" s="71"/>
      <c r="E538" s="71"/>
      <c r="F538" s="71"/>
      <c r="G538" s="71"/>
      <c r="H538" s="71"/>
      <c r="I538" s="71"/>
      <c r="J538" s="71"/>
    </row>
    <row r="539" spans="1:10">
      <c r="A539" s="71"/>
      <c r="B539" s="72"/>
      <c r="C539" s="71"/>
      <c r="D539" s="71"/>
      <c r="E539" s="71"/>
      <c r="F539" s="71"/>
      <c r="G539" s="71"/>
      <c r="H539" s="71"/>
      <c r="I539" s="71"/>
      <c r="J539" s="71"/>
    </row>
    <row r="540" spans="1:10">
      <c r="A540" s="71"/>
      <c r="B540" s="72"/>
      <c r="C540" s="71"/>
      <c r="D540" s="71"/>
      <c r="E540" s="71"/>
      <c r="F540" s="71"/>
      <c r="G540" s="71"/>
      <c r="H540" s="71"/>
      <c r="I540" s="71"/>
      <c r="J540" s="71"/>
    </row>
    <row r="541" spans="1:10">
      <c r="A541" s="71"/>
      <c r="B541" s="72"/>
      <c r="C541" s="71"/>
      <c r="D541" s="71"/>
      <c r="E541" s="71"/>
      <c r="F541" s="71"/>
      <c r="G541" s="71"/>
      <c r="H541" s="71"/>
      <c r="I541" s="71"/>
      <c r="J541" s="71"/>
    </row>
    <row r="542" spans="1:10">
      <c r="A542" s="71"/>
      <c r="B542" s="72"/>
      <c r="C542" s="71"/>
      <c r="D542" s="71"/>
      <c r="E542" s="71"/>
      <c r="F542" s="71"/>
      <c r="G542" s="71"/>
      <c r="H542" s="71"/>
      <c r="I542" s="71"/>
      <c r="J542" s="71"/>
    </row>
    <row r="543" spans="1:10">
      <c r="A543" s="71"/>
      <c r="B543" s="72"/>
      <c r="C543" s="71"/>
      <c r="D543" s="71"/>
      <c r="E543" s="71"/>
      <c r="F543" s="71"/>
      <c r="G543" s="71"/>
      <c r="H543" s="71"/>
      <c r="I543" s="71"/>
      <c r="J543" s="71"/>
    </row>
    <row r="544" spans="1:10">
      <c r="A544" s="71"/>
      <c r="B544" s="72"/>
      <c r="C544" s="71"/>
      <c r="D544" s="71"/>
      <c r="E544" s="71"/>
      <c r="F544" s="71"/>
      <c r="G544" s="71"/>
      <c r="H544" s="71"/>
      <c r="I544" s="71"/>
      <c r="J544" s="71"/>
    </row>
    <row r="545" spans="1:10">
      <c r="A545" s="71"/>
      <c r="B545" s="72"/>
      <c r="C545" s="71"/>
      <c r="D545" s="71"/>
      <c r="E545" s="71"/>
      <c r="F545" s="71"/>
      <c r="G545" s="71"/>
      <c r="H545" s="71"/>
      <c r="I545" s="71"/>
      <c r="J545" s="71"/>
    </row>
    <row r="546" spans="1:10">
      <c r="A546" s="71"/>
      <c r="B546" s="72"/>
      <c r="C546" s="71"/>
      <c r="D546" s="71"/>
      <c r="E546" s="71"/>
      <c r="F546" s="71"/>
      <c r="G546" s="71"/>
      <c r="H546" s="71"/>
      <c r="I546" s="71"/>
      <c r="J546" s="71"/>
    </row>
    <row r="547" spans="1:10">
      <c r="A547" s="71"/>
      <c r="B547" s="72"/>
      <c r="C547" s="71"/>
      <c r="D547" s="71"/>
      <c r="E547" s="71"/>
      <c r="F547" s="71"/>
      <c r="G547" s="71"/>
      <c r="H547" s="71"/>
      <c r="I547" s="71"/>
      <c r="J547" s="71"/>
    </row>
    <row r="548" spans="1:10">
      <c r="A548" s="71"/>
      <c r="B548" s="72"/>
      <c r="C548" s="71"/>
      <c r="D548" s="71"/>
      <c r="E548" s="71"/>
      <c r="F548" s="71"/>
      <c r="G548" s="71"/>
      <c r="H548" s="71"/>
      <c r="I548" s="71"/>
      <c r="J548" s="71"/>
    </row>
    <row r="549" spans="1:10">
      <c r="A549" s="71"/>
      <c r="B549" s="72"/>
      <c r="C549" s="71"/>
      <c r="D549" s="71"/>
      <c r="E549" s="71"/>
      <c r="F549" s="71"/>
      <c r="G549" s="71"/>
      <c r="H549" s="71"/>
      <c r="I549" s="71"/>
      <c r="J549" s="71"/>
    </row>
    <row r="550" spans="1:10">
      <c r="A550" s="71"/>
      <c r="B550" s="72"/>
      <c r="C550" s="71"/>
      <c r="D550" s="71"/>
      <c r="E550" s="71"/>
      <c r="F550" s="71"/>
      <c r="G550" s="71"/>
      <c r="H550" s="71"/>
      <c r="I550" s="71"/>
      <c r="J550" s="71"/>
    </row>
    <row r="551" spans="1:10">
      <c r="A551" s="71"/>
      <c r="B551" s="72"/>
      <c r="C551" s="71"/>
      <c r="D551" s="71"/>
      <c r="E551" s="71"/>
      <c r="F551" s="71"/>
      <c r="G551" s="71"/>
      <c r="H551" s="71"/>
      <c r="I551" s="71"/>
      <c r="J551" s="71"/>
    </row>
    <row r="552" spans="1:10">
      <c r="A552" s="71"/>
      <c r="B552" s="72"/>
      <c r="C552" s="71"/>
      <c r="D552" s="71"/>
      <c r="E552" s="71"/>
      <c r="F552" s="71"/>
      <c r="G552" s="71"/>
      <c r="H552" s="71"/>
      <c r="I552" s="71"/>
      <c r="J552" s="71"/>
    </row>
    <row r="553" spans="1:10">
      <c r="A553" s="71"/>
      <c r="B553" s="72"/>
      <c r="C553" s="71"/>
      <c r="D553" s="71"/>
      <c r="E553" s="71"/>
      <c r="F553" s="71"/>
      <c r="G553" s="71"/>
      <c r="H553" s="71"/>
      <c r="I553" s="71"/>
      <c r="J553" s="71"/>
    </row>
    <row r="554" spans="1:10">
      <c r="A554" s="71"/>
      <c r="B554" s="72"/>
      <c r="C554" s="71"/>
      <c r="D554" s="71"/>
      <c r="E554" s="71"/>
      <c r="F554" s="71"/>
      <c r="G554" s="71"/>
      <c r="H554" s="71"/>
      <c r="I554" s="71"/>
      <c r="J554" s="71"/>
    </row>
    <row r="555" spans="1:10">
      <c r="A555" s="71"/>
      <c r="B555" s="72"/>
      <c r="C555" s="71"/>
      <c r="D555" s="71"/>
      <c r="E555" s="71"/>
      <c r="F555" s="71"/>
      <c r="G555" s="71"/>
      <c r="H555" s="71"/>
      <c r="I555" s="71"/>
      <c r="J555" s="71"/>
    </row>
    <row r="556" spans="1:10">
      <c r="A556" s="71"/>
      <c r="B556" s="72"/>
      <c r="C556" s="71"/>
      <c r="D556" s="71"/>
      <c r="E556" s="71"/>
      <c r="F556" s="71"/>
      <c r="G556" s="71"/>
      <c r="H556" s="71"/>
      <c r="I556" s="71"/>
      <c r="J556" s="71"/>
    </row>
    <row r="557" spans="1:10">
      <c r="A557" s="71"/>
      <c r="B557" s="72"/>
      <c r="C557" s="71"/>
      <c r="D557" s="71"/>
      <c r="E557" s="71"/>
      <c r="F557" s="71"/>
      <c r="G557" s="71"/>
      <c r="H557" s="71"/>
      <c r="I557" s="71"/>
      <c r="J557" s="71"/>
    </row>
    <row r="558" spans="1:10">
      <c r="A558" s="71"/>
      <c r="B558" s="72"/>
      <c r="C558" s="71"/>
      <c r="D558" s="71"/>
      <c r="E558" s="71"/>
      <c r="F558" s="71"/>
      <c r="G558" s="71"/>
      <c r="H558" s="71"/>
      <c r="I558" s="71"/>
      <c r="J558" s="71"/>
    </row>
    <row r="559" spans="1:10">
      <c r="A559" s="71"/>
      <c r="B559" s="72"/>
      <c r="C559" s="71"/>
      <c r="D559" s="71"/>
      <c r="E559" s="71"/>
      <c r="F559" s="71"/>
      <c r="G559" s="71"/>
      <c r="H559" s="71"/>
      <c r="I559" s="71"/>
      <c r="J559" s="71"/>
    </row>
    <row r="560" spans="1:10">
      <c r="A560" s="71"/>
      <c r="B560" s="72"/>
      <c r="C560" s="71"/>
      <c r="D560" s="71"/>
      <c r="E560" s="71"/>
      <c r="F560" s="71"/>
      <c r="G560" s="71"/>
      <c r="H560" s="71"/>
      <c r="I560" s="71"/>
      <c r="J560" s="71"/>
    </row>
    <row r="561" spans="1:10">
      <c r="A561" s="71"/>
      <c r="B561" s="72"/>
      <c r="C561" s="71"/>
      <c r="D561" s="71"/>
      <c r="E561" s="71"/>
      <c r="F561" s="71"/>
      <c r="G561" s="71"/>
      <c r="H561" s="71"/>
      <c r="I561" s="71"/>
      <c r="J561" s="71"/>
    </row>
    <row r="562" spans="1:10">
      <c r="A562" s="71"/>
      <c r="B562" s="72"/>
      <c r="C562" s="71"/>
      <c r="D562" s="71"/>
      <c r="E562" s="71"/>
      <c r="F562" s="71"/>
      <c r="G562" s="71"/>
      <c r="H562" s="71"/>
      <c r="I562" s="71"/>
      <c r="J562" s="71"/>
    </row>
    <row r="563" spans="1:10">
      <c r="A563" s="71"/>
      <c r="B563" s="72"/>
      <c r="C563" s="71"/>
      <c r="D563" s="71"/>
      <c r="E563" s="71"/>
      <c r="F563" s="71"/>
      <c r="G563" s="71"/>
      <c r="H563" s="71"/>
      <c r="I563" s="71"/>
      <c r="J563" s="71"/>
    </row>
    <row r="564" spans="1:10">
      <c r="A564" s="71"/>
      <c r="B564" s="72"/>
      <c r="C564" s="71"/>
      <c r="D564" s="71"/>
      <c r="E564" s="71"/>
      <c r="F564" s="71"/>
      <c r="G564" s="71"/>
      <c r="H564" s="71"/>
      <c r="I564" s="71"/>
      <c r="J564" s="71"/>
    </row>
    <row r="565" spans="1:10">
      <c r="A565" s="71"/>
      <c r="B565" s="72"/>
      <c r="C565" s="71"/>
      <c r="D565" s="71"/>
      <c r="E565" s="71"/>
      <c r="F565" s="71"/>
      <c r="G565" s="71"/>
      <c r="H565" s="71"/>
      <c r="I565" s="71"/>
      <c r="J565" s="71"/>
    </row>
    <row r="566" spans="1:10">
      <c r="A566" s="71"/>
      <c r="B566" s="72"/>
      <c r="C566" s="71"/>
      <c r="D566" s="71"/>
      <c r="E566" s="71"/>
      <c r="F566" s="71"/>
      <c r="G566" s="71"/>
      <c r="H566" s="71"/>
      <c r="I566" s="71"/>
      <c r="J566" s="71"/>
    </row>
    <row r="567" spans="1:10">
      <c r="A567" s="71"/>
      <c r="B567" s="72"/>
      <c r="C567" s="71"/>
      <c r="D567" s="71"/>
      <c r="E567" s="71"/>
      <c r="F567" s="71"/>
      <c r="G567" s="71"/>
      <c r="H567" s="71"/>
      <c r="I567" s="71"/>
      <c r="J567" s="71"/>
    </row>
    <row r="568" spans="1:10">
      <c r="A568" s="71"/>
      <c r="B568" s="72"/>
      <c r="C568" s="71"/>
      <c r="D568" s="71"/>
      <c r="E568" s="71"/>
      <c r="F568" s="71"/>
      <c r="G568" s="71"/>
      <c r="H568" s="71"/>
      <c r="I568" s="71"/>
      <c r="J568" s="71"/>
    </row>
    <row r="569" spans="1:10">
      <c r="A569" s="71"/>
      <c r="B569" s="72"/>
      <c r="C569" s="71"/>
      <c r="D569" s="71"/>
      <c r="E569" s="71"/>
      <c r="F569" s="71"/>
      <c r="G569" s="71"/>
      <c r="H569" s="71"/>
      <c r="I569" s="71"/>
      <c r="J569" s="71"/>
    </row>
    <row r="570" spans="1:10">
      <c r="A570" s="71"/>
      <c r="B570" s="72"/>
      <c r="C570" s="71"/>
      <c r="D570" s="71"/>
      <c r="E570" s="71"/>
      <c r="F570" s="71"/>
      <c r="G570" s="71"/>
      <c r="H570" s="71"/>
      <c r="I570" s="71"/>
      <c r="J570" s="71"/>
    </row>
    <row r="571" spans="1:10">
      <c r="A571" s="71"/>
      <c r="B571" s="72"/>
      <c r="C571" s="71"/>
      <c r="D571" s="71"/>
      <c r="E571" s="71"/>
      <c r="F571" s="71"/>
      <c r="G571" s="71"/>
      <c r="H571" s="71"/>
      <c r="I571" s="71"/>
      <c r="J571" s="71"/>
    </row>
    <row r="572" spans="1:10">
      <c r="A572" s="71"/>
      <c r="B572" s="72"/>
      <c r="C572" s="71"/>
      <c r="D572" s="71"/>
      <c r="E572" s="71"/>
      <c r="F572" s="71"/>
      <c r="G572" s="71"/>
      <c r="H572" s="71"/>
      <c r="I572" s="71"/>
      <c r="J572" s="71"/>
    </row>
    <row r="573" spans="1:10">
      <c r="A573" s="71"/>
      <c r="B573" s="72"/>
      <c r="C573" s="71"/>
      <c r="D573" s="71"/>
      <c r="E573" s="71"/>
      <c r="F573" s="71"/>
      <c r="G573" s="71"/>
      <c r="H573" s="71"/>
      <c r="I573" s="71"/>
      <c r="J573" s="71"/>
    </row>
    <row r="574" spans="1:10">
      <c r="A574" s="71"/>
      <c r="B574" s="72"/>
      <c r="C574" s="71"/>
      <c r="D574" s="71"/>
      <c r="E574" s="71"/>
      <c r="F574" s="71"/>
      <c r="G574" s="71"/>
      <c r="H574" s="71"/>
      <c r="I574" s="71"/>
      <c r="J574" s="71"/>
    </row>
    <row r="575" spans="1:10">
      <c r="A575" s="71"/>
      <c r="B575" s="72"/>
      <c r="C575" s="71"/>
      <c r="D575" s="71"/>
      <c r="E575" s="71"/>
      <c r="F575" s="71"/>
      <c r="G575" s="71"/>
      <c r="H575" s="71"/>
      <c r="I575" s="71"/>
      <c r="J575" s="71"/>
    </row>
    <row r="576" spans="1:10">
      <c r="A576" s="71"/>
      <c r="B576" s="72"/>
      <c r="C576" s="71"/>
      <c r="D576" s="71"/>
      <c r="E576" s="71"/>
      <c r="F576" s="71"/>
      <c r="G576" s="71"/>
      <c r="H576" s="71"/>
      <c r="I576" s="71"/>
      <c r="J576" s="71"/>
    </row>
    <row r="577" spans="1:10">
      <c r="A577" s="71"/>
      <c r="B577" s="72"/>
      <c r="C577" s="71"/>
      <c r="D577" s="71"/>
      <c r="E577" s="71"/>
      <c r="F577" s="71"/>
      <c r="G577" s="71"/>
      <c r="H577" s="71"/>
      <c r="I577" s="71"/>
      <c r="J577" s="71"/>
    </row>
    <row r="578" spans="1:10">
      <c r="A578" s="71"/>
      <c r="B578" s="72"/>
      <c r="C578" s="71"/>
      <c r="D578" s="71"/>
      <c r="E578" s="71"/>
      <c r="F578" s="71"/>
      <c r="G578" s="71"/>
      <c r="H578" s="71"/>
      <c r="I578" s="71"/>
      <c r="J578" s="71"/>
    </row>
    <row r="579" spans="1:10">
      <c r="A579" s="71"/>
      <c r="B579" s="72"/>
      <c r="C579" s="71"/>
      <c r="D579" s="71"/>
      <c r="E579" s="71"/>
      <c r="F579" s="71"/>
      <c r="G579" s="71"/>
      <c r="H579" s="71"/>
      <c r="I579" s="71"/>
      <c r="J579" s="71"/>
    </row>
    <row r="580" spans="1:10">
      <c r="A580" s="71"/>
      <c r="B580" s="72"/>
      <c r="C580" s="71"/>
      <c r="D580" s="71"/>
      <c r="E580" s="71"/>
      <c r="F580" s="71"/>
      <c r="G580" s="71"/>
      <c r="H580" s="71"/>
      <c r="I580" s="71"/>
      <c r="J580" s="71"/>
    </row>
    <row r="581" spans="1:10">
      <c r="A581" s="71"/>
      <c r="B581" s="72"/>
      <c r="C581" s="71"/>
      <c r="D581" s="71"/>
      <c r="E581" s="71"/>
      <c r="F581" s="71"/>
      <c r="G581" s="71"/>
      <c r="H581" s="71"/>
      <c r="I581" s="71"/>
      <c r="J581" s="71"/>
    </row>
    <row r="582" spans="1:10">
      <c r="A582" s="71"/>
      <c r="B582" s="72"/>
      <c r="C582" s="71"/>
      <c r="D582" s="71"/>
      <c r="E582" s="71"/>
      <c r="F582" s="71"/>
      <c r="G582" s="71"/>
      <c r="H582" s="71"/>
      <c r="I582" s="71"/>
      <c r="J582" s="71"/>
    </row>
    <row r="583" spans="1:10">
      <c r="A583" s="71"/>
      <c r="B583" s="72"/>
      <c r="C583" s="71"/>
      <c r="D583" s="71"/>
      <c r="E583" s="71"/>
      <c r="F583" s="71"/>
      <c r="G583" s="71"/>
      <c r="H583" s="71"/>
      <c r="I583" s="71"/>
      <c r="J583" s="71"/>
    </row>
    <row r="584" spans="1:10">
      <c r="A584" s="71"/>
      <c r="B584" s="72"/>
      <c r="C584" s="71"/>
      <c r="D584" s="71"/>
      <c r="E584" s="71"/>
      <c r="F584" s="71"/>
      <c r="G584" s="71"/>
      <c r="H584" s="71"/>
      <c r="I584" s="71"/>
      <c r="J584" s="71"/>
    </row>
    <row r="585" spans="1:10">
      <c r="A585" s="71"/>
      <c r="B585" s="72"/>
      <c r="C585" s="71"/>
      <c r="D585" s="71"/>
      <c r="E585" s="71"/>
      <c r="F585" s="71"/>
      <c r="G585" s="71"/>
      <c r="H585" s="71"/>
      <c r="I585" s="71"/>
      <c r="J585" s="71"/>
    </row>
    <row r="586" spans="1:10">
      <c r="A586" s="71"/>
      <c r="B586" s="72"/>
      <c r="C586" s="71"/>
      <c r="D586" s="71"/>
      <c r="E586" s="71"/>
      <c r="F586" s="71"/>
      <c r="G586" s="71"/>
      <c r="H586" s="71"/>
      <c r="I586" s="71"/>
      <c r="J586" s="71"/>
    </row>
    <row r="587" spans="1:10">
      <c r="A587" s="71"/>
      <c r="B587" s="72"/>
      <c r="C587" s="71"/>
      <c r="D587" s="71"/>
      <c r="E587" s="71"/>
      <c r="F587" s="71"/>
      <c r="G587" s="71"/>
      <c r="H587" s="71"/>
      <c r="I587" s="71"/>
      <c r="J587" s="71"/>
    </row>
    <row r="588" spans="1:10">
      <c r="A588" s="71"/>
      <c r="B588" s="72"/>
      <c r="C588" s="71"/>
      <c r="D588" s="71"/>
      <c r="E588" s="71"/>
      <c r="F588" s="71"/>
      <c r="G588" s="71"/>
      <c r="H588" s="71"/>
      <c r="I588" s="71"/>
      <c r="J588" s="71"/>
    </row>
    <row r="589" spans="1:10">
      <c r="A589" s="71"/>
      <c r="B589" s="72"/>
      <c r="C589" s="71"/>
      <c r="D589" s="71"/>
      <c r="E589" s="71"/>
      <c r="F589" s="71"/>
      <c r="G589" s="71"/>
      <c r="H589" s="71"/>
      <c r="I589" s="71"/>
      <c r="J589" s="71"/>
    </row>
    <row r="590" spans="1:10">
      <c r="A590" s="71"/>
      <c r="B590" s="72"/>
      <c r="C590" s="71"/>
      <c r="D590" s="71"/>
      <c r="E590" s="71"/>
      <c r="F590" s="71"/>
      <c r="G590" s="71"/>
      <c r="H590" s="71"/>
      <c r="I590" s="71"/>
      <c r="J590" s="71"/>
    </row>
    <row r="591" spans="1:10">
      <c r="A591" s="71"/>
      <c r="B591" s="72"/>
      <c r="C591" s="71"/>
      <c r="D591" s="71"/>
      <c r="E591" s="71"/>
      <c r="F591" s="71"/>
      <c r="G591" s="71"/>
      <c r="H591" s="71"/>
      <c r="I591" s="71"/>
      <c r="J591" s="71"/>
    </row>
    <row r="592" spans="1:10">
      <c r="A592" s="71"/>
      <c r="B592" s="72"/>
      <c r="C592" s="71"/>
      <c r="D592" s="71"/>
      <c r="E592" s="71"/>
      <c r="F592" s="71"/>
      <c r="G592" s="71"/>
      <c r="H592" s="71"/>
      <c r="I592" s="71"/>
      <c r="J592" s="71"/>
    </row>
    <row r="593" spans="1:10">
      <c r="A593" s="71"/>
      <c r="B593" s="72"/>
      <c r="C593" s="71"/>
      <c r="D593" s="71"/>
      <c r="E593" s="71"/>
      <c r="F593" s="71"/>
      <c r="G593" s="71"/>
      <c r="H593" s="71"/>
      <c r="I593" s="71"/>
      <c r="J593" s="71"/>
    </row>
    <row r="594" spans="1:10">
      <c r="A594" s="71"/>
      <c r="B594" s="72"/>
      <c r="C594" s="71"/>
      <c r="D594" s="71"/>
      <c r="E594" s="71"/>
      <c r="F594" s="71"/>
      <c r="G594" s="71"/>
      <c r="H594" s="71"/>
      <c r="I594" s="71"/>
      <c r="J594" s="71"/>
    </row>
    <row r="595" spans="1:10">
      <c r="A595" s="71"/>
      <c r="B595" s="72"/>
      <c r="C595" s="71"/>
      <c r="D595" s="71"/>
      <c r="E595" s="71"/>
      <c r="F595" s="71"/>
      <c r="G595" s="71"/>
      <c r="H595" s="71"/>
      <c r="I595" s="71"/>
      <c r="J595" s="71"/>
    </row>
    <row r="596" spans="1:10">
      <c r="A596" s="71"/>
      <c r="B596" s="72"/>
      <c r="C596" s="71"/>
      <c r="D596" s="71"/>
      <c r="E596" s="71"/>
      <c r="F596" s="71"/>
      <c r="G596" s="71"/>
      <c r="H596" s="71"/>
      <c r="I596" s="71"/>
      <c r="J596" s="71"/>
    </row>
    <row r="597" spans="1:10">
      <c r="A597" s="71"/>
      <c r="B597" s="72"/>
      <c r="C597" s="71"/>
      <c r="D597" s="71"/>
      <c r="E597" s="71"/>
      <c r="F597" s="71"/>
      <c r="G597" s="71"/>
      <c r="H597" s="71"/>
      <c r="I597" s="71"/>
      <c r="J597" s="71"/>
    </row>
    <row r="598" spans="1:10">
      <c r="A598" s="71"/>
      <c r="B598" s="72"/>
      <c r="C598" s="71"/>
      <c r="D598" s="71"/>
      <c r="E598" s="71"/>
      <c r="F598" s="71"/>
      <c r="G598" s="71"/>
      <c r="H598" s="71"/>
      <c r="I598" s="71"/>
      <c r="J598" s="71"/>
    </row>
    <row r="599" spans="1:10">
      <c r="A599" s="71"/>
      <c r="B599" s="72"/>
      <c r="C599" s="71"/>
      <c r="D599" s="71"/>
      <c r="E599" s="71"/>
      <c r="F599" s="71"/>
      <c r="G599" s="71"/>
      <c r="H599" s="71"/>
      <c r="I599" s="71"/>
      <c r="J599" s="71"/>
    </row>
    <row r="600" spans="1:10">
      <c r="A600" s="71"/>
      <c r="B600" s="72"/>
      <c r="C600" s="71"/>
      <c r="D600" s="71"/>
      <c r="E600" s="71"/>
      <c r="F600" s="71"/>
      <c r="G600" s="71"/>
      <c r="H600" s="71"/>
      <c r="I600" s="71"/>
      <c r="J600" s="71"/>
    </row>
    <row r="601" spans="1:10">
      <c r="A601" s="71"/>
      <c r="B601" s="72"/>
      <c r="C601" s="71"/>
      <c r="D601" s="71"/>
      <c r="E601" s="71"/>
      <c r="F601" s="71"/>
      <c r="G601" s="71"/>
      <c r="H601" s="71"/>
      <c r="I601" s="71"/>
      <c r="J601" s="71"/>
    </row>
    <row r="602" spans="1:10">
      <c r="A602" s="71"/>
      <c r="B602" s="72"/>
      <c r="C602" s="71"/>
      <c r="D602" s="71"/>
      <c r="E602" s="71"/>
      <c r="F602" s="71"/>
      <c r="G602" s="71"/>
      <c r="H602" s="71"/>
      <c r="I602" s="71"/>
      <c r="J602" s="71"/>
    </row>
    <row r="603" spans="1:10">
      <c r="A603" s="71"/>
      <c r="B603" s="72"/>
      <c r="C603" s="71"/>
      <c r="D603" s="71"/>
      <c r="E603" s="71"/>
      <c r="F603" s="71"/>
      <c r="G603" s="71"/>
      <c r="H603" s="71"/>
      <c r="I603" s="71"/>
      <c r="J603" s="71"/>
    </row>
    <row r="604" spans="1:10">
      <c r="A604" s="71"/>
      <c r="B604" s="72"/>
      <c r="C604" s="71"/>
      <c r="D604" s="71"/>
      <c r="E604" s="71"/>
      <c r="F604" s="71"/>
      <c r="G604" s="71"/>
      <c r="H604" s="71"/>
      <c r="I604" s="71"/>
      <c r="J604" s="71"/>
    </row>
    <row r="605" spans="1:10">
      <c r="A605" s="71"/>
      <c r="B605" s="72"/>
      <c r="C605" s="71"/>
      <c r="D605" s="71"/>
      <c r="E605" s="71"/>
      <c r="F605" s="71"/>
      <c r="G605" s="71"/>
      <c r="H605" s="71"/>
      <c r="I605" s="71"/>
      <c r="J605" s="71"/>
    </row>
    <row r="606" spans="1:10">
      <c r="A606" s="71"/>
      <c r="B606" s="72"/>
      <c r="C606" s="71"/>
      <c r="D606" s="71"/>
      <c r="E606" s="71"/>
      <c r="F606" s="71"/>
      <c r="G606" s="71"/>
      <c r="H606" s="71"/>
      <c r="I606" s="71"/>
      <c r="J606" s="71"/>
    </row>
    <row r="607" spans="1:10">
      <c r="A607" s="71"/>
      <c r="B607" s="72"/>
      <c r="C607" s="71"/>
      <c r="D607" s="71"/>
      <c r="E607" s="71"/>
      <c r="F607" s="71"/>
      <c r="G607" s="71"/>
      <c r="H607" s="71"/>
      <c r="I607" s="71"/>
      <c r="J607" s="71"/>
    </row>
    <row r="608" spans="1:10">
      <c r="A608" s="71"/>
      <c r="B608" s="72"/>
      <c r="C608" s="71"/>
      <c r="D608" s="71"/>
      <c r="E608" s="71"/>
      <c r="F608" s="71"/>
      <c r="G608" s="71"/>
      <c r="H608" s="71"/>
      <c r="I608" s="71"/>
      <c r="J608" s="71"/>
    </row>
    <row r="609" spans="1:10">
      <c r="A609" s="71"/>
      <c r="B609" s="72"/>
      <c r="C609" s="71"/>
      <c r="D609" s="71"/>
      <c r="E609" s="71"/>
      <c r="F609" s="71"/>
      <c r="G609" s="71"/>
      <c r="H609" s="71"/>
      <c r="I609" s="71"/>
      <c r="J609" s="71"/>
    </row>
    <row r="610" spans="1:10">
      <c r="A610" s="71"/>
      <c r="B610" s="72"/>
      <c r="C610" s="71"/>
      <c r="D610" s="71"/>
      <c r="E610" s="71"/>
      <c r="F610" s="71"/>
      <c r="G610" s="71"/>
      <c r="H610" s="71"/>
      <c r="I610" s="71"/>
      <c r="J610" s="71"/>
    </row>
    <row r="611" spans="1:10">
      <c r="A611" s="71"/>
      <c r="B611" s="72"/>
      <c r="C611" s="71"/>
      <c r="D611" s="71"/>
      <c r="E611" s="71"/>
      <c r="F611" s="71"/>
      <c r="G611" s="71"/>
      <c r="H611" s="71"/>
      <c r="I611" s="71"/>
      <c r="J611" s="71"/>
    </row>
    <row r="612" spans="1:10">
      <c r="A612" s="71"/>
      <c r="B612" s="72"/>
      <c r="C612" s="71"/>
      <c r="D612" s="71"/>
      <c r="E612" s="71"/>
      <c r="F612" s="71"/>
      <c r="G612" s="71"/>
      <c r="H612" s="71"/>
      <c r="I612" s="71"/>
      <c r="J612" s="71"/>
    </row>
    <row r="613" spans="1:10">
      <c r="A613" s="71"/>
      <c r="B613" s="72"/>
      <c r="C613" s="71"/>
      <c r="D613" s="71"/>
      <c r="E613" s="71"/>
      <c r="F613" s="71"/>
      <c r="G613" s="71"/>
      <c r="H613" s="71"/>
      <c r="I613" s="71"/>
      <c r="J613" s="71"/>
    </row>
    <row r="614" spans="1:10">
      <c r="A614" s="71"/>
      <c r="B614" s="72"/>
      <c r="C614" s="71"/>
      <c r="D614" s="71"/>
      <c r="E614" s="71"/>
      <c r="F614" s="71"/>
      <c r="G614" s="71"/>
      <c r="H614" s="71"/>
      <c r="I614" s="71"/>
      <c r="J614" s="71"/>
    </row>
    <row r="615" spans="1:10">
      <c r="A615" s="71"/>
      <c r="B615" s="72"/>
      <c r="C615" s="71"/>
      <c r="D615" s="71"/>
      <c r="E615" s="71"/>
      <c r="F615" s="71"/>
      <c r="G615" s="71"/>
      <c r="H615" s="71"/>
      <c r="I615" s="71"/>
      <c r="J615" s="71"/>
    </row>
    <row r="616" spans="1:10">
      <c r="A616" s="71"/>
      <c r="B616" s="72"/>
      <c r="C616" s="71"/>
      <c r="D616" s="71"/>
      <c r="E616" s="71"/>
      <c r="F616" s="71"/>
      <c r="G616" s="71"/>
      <c r="H616" s="71"/>
      <c r="I616" s="71"/>
      <c r="J616" s="71"/>
    </row>
    <row r="617" spans="1:10">
      <c r="A617" s="71"/>
      <c r="B617" s="72"/>
      <c r="C617" s="71"/>
      <c r="D617" s="71"/>
      <c r="E617" s="71"/>
      <c r="F617" s="71"/>
      <c r="G617" s="71"/>
      <c r="H617" s="71"/>
      <c r="I617" s="71"/>
      <c r="J617" s="71"/>
    </row>
    <row r="618" spans="1:10">
      <c r="A618" s="71"/>
      <c r="B618" s="72"/>
      <c r="C618" s="71"/>
      <c r="D618" s="71"/>
      <c r="E618" s="71"/>
      <c r="F618" s="71"/>
      <c r="G618" s="71"/>
      <c r="H618" s="71"/>
      <c r="I618" s="71"/>
      <c r="J618" s="71"/>
    </row>
    <row r="619" spans="1:10">
      <c r="A619" s="71"/>
      <c r="B619" s="72"/>
      <c r="C619" s="71"/>
      <c r="D619" s="71"/>
      <c r="E619" s="71"/>
      <c r="F619" s="71"/>
      <c r="G619" s="71"/>
      <c r="H619" s="71"/>
      <c r="I619" s="71"/>
      <c r="J619" s="71"/>
    </row>
    <row r="620" spans="1:10">
      <c r="A620" s="71"/>
      <c r="B620" s="72"/>
      <c r="C620" s="71"/>
      <c r="D620" s="71"/>
      <c r="E620" s="71"/>
      <c r="F620" s="71"/>
      <c r="G620" s="71"/>
      <c r="H620" s="71"/>
      <c r="I620" s="71"/>
      <c r="J620" s="71"/>
    </row>
    <row r="621" spans="1:10">
      <c r="A621" s="71"/>
      <c r="B621" s="72"/>
      <c r="C621" s="71"/>
      <c r="D621" s="71"/>
      <c r="E621" s="71"/>
      <c r="F621" s="71"/>
      <c r="G621" s="71"/>
      <c r="H621" s="71"/>
      <c r="I621" s="71"/>
      <c r="J621" s="71"/>
    </row>
    <row r="622" spans="1:10">
      <c r="A622" s="71"/>
      <c r="B622" s="72"/>
      <c r="C622" s="71"/>
      <c r="D622" s="71"/>
      <c r="E622" s="71"/>
      <c r="F622" s="71"/>
      <c r="G622" s="71"/>
      <c r="H622" s="71"/>
      <c r="I622" s="71"/>
      <c r="J622" s="71"/>
    </row>
    <row r="623" spans="1:10">
      <c r="A623" s="71"/>
      <c r="B623" s="72"/>
      <c r="C623" s="71"/>
      <c r="D623" s="71"/>
      <c r="E623" s="71"/>
      <c r="F623" s="71"/>
      <c r="G623" s="71"/>
      <c r="H623" s="71"/>
      <c r="I623" s="71"/>
      <c r="J623" s="71"/>
    </row>
    <row r="624" spans="1:10">
      <c r="A624" s="71"/>
      <c r="B624" s="72"/>
      <c r="C624" s="71"/>
      <c r="D624" s="71"/>
      <c r="E624" s="71"/>
      <c r="F624" s="71"/>
      <c r="G624" s="71"/>
      <c r="H624" s="71"/>
      <c r="I624" s="71"/>
      <c r="J624" s="71"/>
    </row>
    <row r="625" spans="1:10">
      <c r="A625" s="71"/>
      <c r="B625" s="72"/>
      <c r="C625" s="71"/>
      <c r="D625" s="71"/>
      <c r="E625" s="71"/>
      <c r="F625" s="71"/>
      <c r="G625" s="71"/>
      <c r="H625" s="71"/>
      <c r="I625" s="71"/>
      <c r="J625" s="71"/>
    </row>
    <row r="626" spans="1:10">
      <c r="A626" s="71"/>
      <c r="B626" s="72"/>
      <c r="C626" s="71"/>
      <c r="D626" s="71"/>
      <c r="E626" s="71"/>
      <c r="F626" s="71"/>
      <c r="G626" s="71"/>
      <c r="H626" s="71"/>
      <c r="I626" s="71"/>
      <c r="J626" s="71"/>
    </row>
    <row r="627" spans="1:10">
      <c r="A627" s="71"/>
      <c r="B627" s="72"/>
      <c r="C627" s="71"/>
      <c r="D627" s="71"/>
      <c r="E627" s="71"/>
      <c r="F627" s="71"/>
      <c r="G627" s="71"/>
      <c r="H627" s="71"/>
      <c r="I627" s="71"/>
      <c r="J627" s="71"/>
    </row>
    <row r="628" spans="1:10">
      <c r="A628" s="71"/>
      <c r="B628" s="72"/>
      <c r="C628" s="71"/>
      <c r="D628" s="71"/>
      <c r="E628" s="71"/>
      <c r="F628" s="71"/>
      <c r="G628" s="71"/>
      <c r="H628" s="71"/>
      <c r="I628" s="71"/>
      <c r="J628" s="71"/>
    </row>
    <row r="629" spans="1:10">
      <c r="A629" s="71"/>
      <c r="B629" s="72"/>
      <c r="C629" s="71"/>
      <c r="D629" s="71"/>
      <c r="E629" s="71"/>
      <c r="F629" s="71"/>
      <c r="G629" s="71"/>
      <c r="H629" s="71"/>
      <c r="I629" s="71"/>
      <c r="J629" s="71"/>
    </row>
    <row r="630" spans="1:10">
      <c r="A630" s="71"/>
      <c r="B630" s="72"/>
      <c r="C630" s="71"/>
      <c r="D630" s="71"/>
      <c r="E630" s="71"/>
      <c r="F630" s="71"/>
      <c r="G630" s="71"/>
      <c r="H630" s="71"/>
      <c r="I630" s="71"/>
      <c r="J630" s="71"/>
    </row>
    <row r="631" spans="1:10">
      <c r="A631" s="71"/>
      <c r="B631" s="72"/>
      <c r="C631" s="71"/>
      <c r="D631" s="71"/>
      <c r="E631" s="71"/>
      <c r="F631" s="71"/>
      <c r="G631" s="71"/>
      <c r="H631" s="71"/>
      <c r="I631" s="71"/>
      <c r="J631" s="71"/>
    </row>
    <row r="632" spans="1:10">
      <c r="A632" s="71"/>
      <c r="B632" s="72"/>
      <c r="C632" s="71"/>
      <c r="D632" s="71"/>
      <c r="E632" s="71"/>
      <c r="F632" s="71"/>
      <c r="G632" s="71"/>
      <c r="H632" s="71"/>
      <c r="I632" s="71"/>
      <c r="J632" s="71"/>
    </row>
    <row r="633" spans="1:10">
      <c r="A633" s="71"/>
      <c r="B633" s="72"/>
      <c r="C633" s="71"/>
      <c r="D633" s="71"/>
      <c r="E633" s="71"/>
      <c r="F633" s="71"/>
      <c r="G633" s="71"/>
      <c r="H633" s="71"/>
      <c r="I633" s="71"/>
      <c r="J633" s="71"/>
    </row>
    <row r="634" spans="1:10">
      <c r="A634" s="71"/>
      <c r="B634" s="72"/>
      <c r="C634" s="71"/>
      <c r="D634" s="71"/>
      <c r="E634" s="71"/>
      <c r="F634" s="71"/>
      <c r="G634" s="71"/>
      <c r="H634" s="71"/>
      <c r="I634" s="71"/>
      <c r="J634" s="71"/>
    </row>
    <row r="635" spans="1:10">
      <c r="A635" s="71"/>
      <c r="B635" s="72"/>
      <c r="C635" s="71"/>
      <c r="D635" s="71"/>
      <c r="E635" s="71"/>
      <c r="F635" s="71"/>
      <c r="G635" s="71"/>
      <c r="H635" s="71"/>
      <c r="I635" s="71"/>
      <c r="J635" s="71"/>
    </row>
    <row r="636" spans="1:10">
      <c r="A636" s="71"/>
      <c r="B636" s="72"/>
      <c r="C636" s="71"/>
      <c r="D636" s="71"/>
      <c r="E636" s="71"/>
      <c r="F636" s="71"/>
      <c r="G636" s="71"/>
      <c r="H636" s="71"/>
      <c r="I636" s="71"/>
      <c r="J636" s="71"/>
    </row>
    <row r="637" spans="1:10">
      <c r="A637" s="71"/>
      <c r="B637" s="72"/>
      <c r="C637" s="71"/>
      <c r="D637" s="71"/>
      <c r="E637" s="71"/>
      <c r="F637" s="71"/>
      <c r="G637" s="71"/>
      <c r="H637" s="71"/>
      <c r="I637" s="71"/>
      <c r="J637" s="71"/>
    </row>
    <row r="638" spans="1:10">
      <c r="A638" s="71"/>
      <c r="B638" s="72"/>
      <c r="C638" s="71"/>
      <c r="D638" s="71"/>
      <c r="E638" s="71"/>
      <c r="F638" s="71"/>
      <c r="G638" s="71"/>
      <c r="H638" s="71"/>
      <c r="I638" s="71"/>
      <c r="J638" s="71"/>
    </row>
    <row r="639" spans="1:10">
      <c r="A639" s="71"/>
      <c r="B639" s="72"/>
      <c r="C639" s="71"/>
      <c r="D639" s="71"/>
      <c r="E639" s="71"/>
      <c r="F639" s="71"/>
      <c r="G639" s="71"/>
      <c r="H639" s="71"/>
      <c r="I639" s="71"/>
      <c r="J639" s="71"/>
    </row>
    <row r="640" spans="1:10">
      <c r="A640" s="71"/>
      <c r="B640" s="72"/>
      <c r="C640" s="71"/>
      <c r="D640" s="71"/>
      <c r="E640" s="71"/>
      <c r="F640" s="71"/>
      <c r="G640" s="71"/>
      <c r="H640" s="71"/>
      <c r="I640" s="71"/>
      <c r="J640" s="71"/>
    </row>
    <row r="641" spans="1:10">
      <c r="A641" s="71"/>
      <c r="B641" s="72"/>
      <c r="C641" s="71"/>
      <c r="D641" s="71"/>
      <c r="E641" s="71"/>
      <c r="F641" s="71"/>
      <c r="G641" s="71"/>
      <c r="H641" s="71"/>
      <c r="I641" s="71"/>
      <c r="J641" s="71"/>
    </row>
    <row r="642" spans="1:10">
      <c r="A642" s="71"/>
      <c r="B642" s="72"/>
      <c r="C642" s="71"/>
      <c r="D642" s="71"/>
      <c r="E642" s="71"/>
      <c r="F642" s="71"/>
      <c r="G642" s="71"/>
      <c r="H642" s="71"/>
      <c r="I642" s="71"/>
      <c r="J642" s="71"/>
    </row>
    <row r="643" spans="1:10">
      <c r="A643" s="71"/>
      <c r="B643" s="72"/>
      <c r="C643" s="71"/>
      <c r="D643" s="71"/>
      <c r="E643" s="71"/>
      <c r="F643" s="71"/>
      <c r="G643" s="71"/>
      <c r="H643" s="71"/>
      <c r="I643" s="71"/>
      <c r="J643" s="71"/>
    </row>
    <row r="644" spans="1:10">
      <c r="A644" s="71"/>
      <c r="B644" s="72"/>
      <c r="C644" s="71"/>
      <c r="D644" s="71"/>
      <c r="E644" s="71"/>
      <c r="F644" s="71"/>
      <c r="G644" s="71"/>
      <c r="H644" s="71"/>
      <c r="I644" s="71"/>
      <c r="J644" s="71"/>
    </row>
    <row r="645" spans="1:10">
      <c r="A645" s="71"/>
      <c r="B645" s="72"/>
      <c r="C645" s="71"/>
      <c r="D645" s="71"/>
      <c r="E645" s="71"/>
      <c r="F645" s="71"/>
      <c r="G645" s="71"/>
      <c r="H645" s="71"/>
      <c r="I645" s="71"/>
      <c r="J645" s="71"/>
    </row>
    <row r="646" spans="1:10">
      <c r="A646" s="71"/>
      <c r="B646" s="72"/>
      <c r="C646" s="71"/>
      <c r="D646" s="71"/>
      <c r="E646" s="71"/>
      <c r="F646" s="71"/>
      <c r="G646" s="71"/>
      <c r="H646" s="71"/>
      <c r="I646" s="71"/>
      <c r="J646" s="71"/>
    </row>
    <row r="647" spans="1:10">
      <c r="A647" s="71"/>
      <c r="B647" s="72"/>
      <c r="C647" s="71"/>
      <c r="D647" s="71"/>
      <c r="E647" s="71"/>
      <c r="F647" s="71"/>
      <c r="G647" s="71"/>
      <c r="H647" s="71"/>
      <c r="I647" s="71"/>
      <c r="J647" s="71"/>
    </row>
    <row r="648" spans="1:10">
      <c r="A648" s="71"/>
      <c r="B648" s="72"/>
      <c r="C648" s="71"/>
      <c r="D648" s="71"/>
      <c r="E648" s="71"/>
      <c r="F648" s="71"/>
      <c r="G648" s="71"/>
      <c r="H648" s="71"/>
      <c r="I648" s="71"/>
      <c r="J648" s="71"/>
    </row>
    <row r="649" spans="1:10">
      <c r="A649" s="71"/>
      <c r="B649" s="72"/>
      <c r="C649" s="71"/>
      <c r="D649" s="71"/>
      <c r="E649" s="71"/>
      <c r="F649" s="71"/>
      <c r="G649" s="71"/>
      <c r="H649" s="71"/>
      <c r="I649" s="71"/>
      <c r="J649" s="71"/>
    </row>
    <row r="650" spans="1:10">
      <c r="A650" s="71"/>
      <c r="B650" s="72"/>
      <c r="C650" s="71"/>
      <c r="D650" s="71"/>
      <c r="E650" s="71"/>
      <c r="F650" s="71"/>
      <c r="G650" s="71"/>
      <c r="H650" s="71"/>
      <c r="I650" s="71"/>
      <c r="J650" s="71"/>
    </row>
    <row r="651" spans="1:10">
      <c r="A651" s="71"/>
      <c r="B651" s="72"/>
      <c r="C651" s="71"/>
      <c r="D651" s="71"/>
      <c r="E651" s="71"/>
      <c r="F651" s="71"/>
      <c r="G651" s="71"/>
      <c r="H651" s="71"/>
      <c r="I651" s="71"/>
      <c r="J651" s="71"/>
    </row>
    <row r="652" spans="1:10">
      <c r="A652" s="71"/>
      <c r="B652" s="72"/>
      <c r="C652" s="71"/>
      <c r="D652" s="71"/>
      <c r="E652" s="71"/>
      <c r="F652" s="71"/>
      <c r="G652" s="71"/>
      <c r="H652" s="71"/>
      <c r="I652" s="71"/>
      <c r="J652" s="71"/>
    </row>
    <row r="653" spans="1:10">
      <c r="A653" s="71"/>
      <c r="B653" s="72"/>
      <c r="C653" s="71"/>
      <c r="D653" s="71"/>
      <c r="E653" s="71"/>
      <c r="F653" s="71"/>
      <c r="G653" s="71"/>
      <c r="H653" s="71"/>
      <c r="I653" s="71"/>
      <c r="J653" s="71"/>
    </row>
    <row r="654" spans="1:10">
      <c r="A654" s="71"/>
      <c r="B654" s="72"/>
      <c r="C654" s="71"/>
      <c r="D654" s="71"/>
      <c r="E654" s="71"/>
      <c r="F654" s="71"/>
      <c r="G654" s="71"/>
      <c r="H654" s="71"/>
      <c r="I654" s="71"/>
      <c r="J654" s="71"/>
    </row>
    <row r="655" spans="1:10">
      <c r="A655" s="71"/>
      <c r="B655" s="72"/>
      <c r="C655" s="71"/>
      <c r="D655" s="71"/>
      <c r="E655" s="71"/>
      <c r="F655" s="71"/>
      <c r="G655" s="71"/>
      <c r="H655" s="71"/>
      <c r="I655" s="71"/>
      <c r="J655" s="71"/>
    </row>
    <row r="656" spans="1:10">
      <c r="A656" s="71"/>
      <c r="B656" s="72"/>
      <c r="C656" s="71"/>
      <c r="D656" s="71"/>
      <c r="E656" s="71"/>
      <c r="F656" s="71"/>
      <c r="G656" s="71"/>
      <c r="H656" s="71"/>
      <c r="I656" s="71"/>
      <c r="J656" s="71"/>
    </row>
    <row r="657" spans="1:10">
      <c r="A657" s="71"/>
      <c r="B657" s="72"/>
      <c r="C657" s="71"/>
      <c r="D657" s="71"/>
      <c r="E657" s="71"/>
      <c r="F657" s="71"/>
      <c r="G657" s="71"/>
      <c r="H657" s="71"/>
      <c r="I657" s="71"/>
      <c r="J657" s="71"/>
    </row>
    <row r="658" spans="1:10">
      <c r="A658" s="71"/>
      <c r="B658" s="72"/>
      <c r="C658" s="71"/>
      <c r="D658" s="71"/>
      <c r="E658" s="71"/>
      <c r="F658" s="71"/>
      <c r="G658" s="71"/>
      <c r="H658" s="71"/>
      <c r="I658" s="71"/>
      <c r="J658" s="71"/>
    </row>
    <row r="659" spans="1:10">
      <c r="A659" s="71"/>
      <c r="B659" s="72"/>
      <c r="C659" s="71"/>
      <c r="D659" s="71"/>
      <c r="E659" s="71"/>
      <c r="F659" s="71"/>
      <c r="G659" s="71"/>
      <c r="H659" s="71"/>
      <c r="I659" s="71"/>
      <c r="J659" s="71"/>
    </row>
    <row r="660" spans="1:10">
      <c r="A660" s="71"/>
      <c r="B660" s="72"/>
      <c r="C660" s="71"/>
      <c r="D660" s="71"/>
      <c r="E660" s="71"/>
      <c r="F660" s="71"/>
      <c r="G660" s="71"/>
      <c r="H660" s="71"/>
      <c r="I660" s="71"/>
      <c r="J660" s="71"/>
    </row>
    <row r="661" spans="1:10">
      <c r="A661" s="71"/>
      <c r="B661" s="72"/>
      <c r="C661" s="71"/>
      <c r="D661" s="71"/>
      <c r="E661" s="71"/>
      <c r="F661" s="71"/>
      <c r="G661" s="71"/>
      <c r="H661" s="71"/>
      <c r="I661" s="71"/>
      <c r="J661" s="71"/>
    </row>
    <row r="662" spans="1:10">
      <c r="A662" s="71"/>
      <c r="B662" s="72"/>
      <c r="C662" s="71"/>
      <c r="D662" s="71"/>
      <c r="E662" s="71"/>
      <c r="F662" s="71"/>
      <c r="G662" s="71"/>
      <c r="H662" s="71"/>
      <c r="I662" s="71"/>
      <c r="J662" s="71"/>
    </row>
    <row r="663" spans="1:10">
      <c r="A663" s="71"/>
      <c r="B663" s="72"/>
      <c r="C663" s="71"/>
      <c r="D663" s="71"/>
      <c r="E663" s="71"/>
      <c r="F663" s="71"/>
      <c r="G663" s="71"/>
      <c r="H663" s="71"/>
      <c r="I663" s="71"/>
      <c r="J663" s="71"/>
    </row>
    <row r="664" spans="1:10">
      <c r="A664" s="71"/>
      <c r="B664" s="72"/>
      <c r="C664" s="71"/>
      <c r="D664" s="71"/>
      <c r="E664" s="71"/>
      <c r="F664" s="71"/>
      <c r="G664" s="71"/>
      <c r="H664" s="71"/>
      <c r="I664" s="71"/>
      <c r="J664" s="71"/>
    </row>
    <row r="665" spans="1:10">
      <c r="A665" s="71"/>
      <c r="B665" s="72"/>
      <c r="C665" s="71"/>
      <c r="D665" s="71"/>
      <c r="E665" s="71"/>
      <c r="F665" s="71"/>
      <c r="G665" s="71"/>
      <c r="H665" s="71"/>
      <c r="I665" s="71"/>
      <c r="J665" s="71"/>
    </row>
    <row r="666" spans="1:10">
      <c r="A666" s="71"/>
      <c r="B666" s="72"/>
      <c r="C666" s="71"/>
      <c r="D666" s="71"/>
      <c r="E666" s="71"/>
      <c r="F666" s="71"/>
      <c r="G666" s="71"/>
      <c r="H666" s="71"/>
      <c r="I666" s="71"/>
      <c r="J666" s="71"/>
    </row>
    <row r="667" spans="1:10">
      <c r="A667" s="71"/>
      <c r="B667" s="72"/>
      <c r="C667" s="71"/>
      <c r="D667" s="71"/>
      <c r="E667" s="71"/>
      <c r="F667" s="71"/>
      <c r="G667" s="71"/>
      <c r="H667" s="71"/>
      <c r="I667" s="71"/>
      <c r="J667" s="71"/>
    </row>
    <row r="668" spans="1:10">
      <c r="A668" s="71"/>
      <c r="B668" s="72"/>
      <c r="C668" s="71"/>
      <c r="D668" s="71"/>
      <c r="E668" s="71"/>
      <c r="F668" s="71"/>
      <c r="G668" s="71"/>
      <c r="H668" s="71"/>
      <c r="I668" s="71"/>
      <c r="J668" s="71"/>
    </row>
    <row r="669" spans="1:10">
      <c r="A669" s="71"/>
      <c r="B669" s="72"/>
      <c r="C669" s="71"/>
      <c r="D669" s="71"/>
      <c r="E669" s="71"/>
      <c r="F669" s="71"/>
      <c r="G669" s="71"/>
      <c r="H669" s="71"/>
      <c r="I669" s="71"/>
      <c r="J669" s="71"/>
    </row>
    <row r="670" spans="1:10">
      <c r="A670" s="71"/>
      <c r="B670" s="72"/>
      <c r="C670" s="71"/>
      <c r="D670" s="71"/>
      <c r="E670" s="71"/>
      <c r="F670" s="71"/>
      <c r="G670" s="71"/>
      <c r="H670" s="71"/>
      <c r="I670" s="71"/>
      <c r="J670" s="71"/>
    </row>
    <row r="671" spans="1:10">
      <c r="A671" s="71"/>
      <c r="B671" s="72"/>
      <c r="C671" s="71"/>
      <c r="D671" s="71"/>
      <c r="E671" s="71"/>
      <c r="F671" s="71"/>
      <c r="G671" s="71"/>
      <c r="H671" s="71"/>
      <c r="I671" s="71"/>
      <c r="J671" s="71"/>
    </row>
    <row r="672" spans="1:10">
      <c r="A672" s="71"/>
      <c r="B672" s="72"/>
      <c r="C672" s="71"/>
      <c r="D672" s="71"/>
      <c r="E672" s="71"/>
      <c r="F672" s="71"/>
      <c r="G672" s="71"/>
      <c r="H672" s="71"/>
      <c r="I672" s="71"/>
      <c r="J672" s="71"/>
    </row>
    <row r="673" spans="1:10">
      <c r="A673" s="71"/>
      <c r="B673" s="72"/>
      <c r="C673" s="71"/>
      <c r="D673" s="71"/>
      <c r="E673" s="71"/>
      <c r="F673" s="71"/>
      <c r="G673" s="71"/>
      <c r="H673" s="71"/>
      <c r="I673" s="71"/>
      <c r="J673" s="71"/>
    </row>
    <row r="674" spans="1:10">
      <c r="A674" s="71"/>
      <c r="B674" s="72"/>
      <c r="C674" s="71"/>
      <c r="D674" s="71"/>
      <c r="E674" s="71"/>
      <c r="F674" s="71"/>
      <c r="G674" s="71"/>
      <c r="H674" s="71"/>
      <c r="I674" s="71"/>
      <c r="J674" s="71"/>
    </row>
    <row r="675" spans="1:10">
      <c r="A675" s="71"/>
      <c r="B675" s="72"/>
      <c r="C675" s="71"/>
      <c r="D675" s="71"/>
      <c r="E675" s="71"/>
      <c r="F675" s="71"/>
      <c r="G675" s="71"/>
      <c r="H675" s="71"/>
      <c r="I675" s="71"/>
      <c r="J675" s="71"/>
    </row>
    <row r="676" spans="1:10">
      <c r="A676" s="71"/>
      <c r="B676" s="72"/>
      <c r="C676" s="71"/>
      <c r="D676" s="71"/>
      <c r="E676" s="71"/>
      <c r="F676" s="71"/>
      <c r="G676" s="71"/>
      <c r="H676" s="71"/>
      <c r="I676" s="71"/>
      <c r="J676" s="71"/>
    </row>
    <row r="677" spans="1:10">
      <c r="A677" s="71"/>
      <c r="B677" s="72"/>
      <c r="C677" s="71"/>
      <c r="D677" s="71"/>
      <c r="E677" s="71"/>
      <c r="F677" s="71"/>
      <c r="G677" s="71"/>
      <c r="H677" s="71"/>
      <c r="I677" s="71"/>
      <c r="J677" s="71"/>
    </row>
    <row r="678" spans="1:10">
      <c r="A678" s="71"/>
      <c r="B678" s="72"/>
      <c r="C678" s="71"/>
      <c r="D678" s="71"/>
      <c r="E678" s="71"/>
      <c r="F678" s="71"/>
      <c r="G678" s="71"/>
      <c r="H678" s="71"/>
      <c r="I678" s="71"/>
      <c r="J678" s="71"/>
    </row>
    <row r="679" spans="1:10">
      <c r="A679" s="71"/>
      <c r="B679" s="72"/>
      <c r="C679" s="71"/>
      <c r="D679" s="71"/>
      <c r="E679" s="71"/>
      <c r="F679" s="71"/>
      <c r="G679" s="71"/>
      <c r="H679" s="71"/>
      <c r="I679" s="71"/>
      <c r="J679" s="71"/>
    </row>
    <row r="680" spans="1:10">
      <c r="A680" s="71"/>
      <c r="B680" s="72"/>
      <c r="C680" s="71"/>
      <c r="D680" s="71"/>
      <c r="E680" s="71"/>
      <c r="F680" s="71"/>
      <c r="G680" s="71"/>
      <c r="H680" s="71"/>
      <c r="I680" s="71"/>
      <c r="J680" s="71"/>
    </row>
    <row r="681" spans="1:10">
      <c r="A681" s="71"/>
      <c r="B681" s="72"/>
      <c r="C681" s="71"/>
      <c r="D681" s="71"/>
      <c r="E681" s="71"/>
      <c r="F681" s="71"/>
      <c r="G681" s="71"/>
      <c r="H681" s="71"/>
      <c r="I681" s="71"/>
      <c r="J681" s="71"/>
    </row>
    <row r="682" spans="1:10">
      <c r="A682" s="71"/>
      <c r="B682" s="72"/>
      <c r="C682" s="71"/>
      <c r="D682" s="71"/>
      <c r="E682" s="71"/>
      <c r="F682" s="71"/>
      <c r="G682" s="71"/>
      <c r="H682" s="71"/>
      <c r="I682" s="71"/>
      <c r="J682" s="71"/>
    </row>
    <row r="683" spans="1:10">
      <c r="A683" s="71"/>
      <c r="B683" s="72"/>
      <c r="C683" s="71"/>
      <c r="D683" s="71"/>
      <c r="E683" s="71"/>
      <c r="F683" s="71"/>
      <c r="G683" s="71"/>
      <c r="H683" s="71"/>
      <c r="I683" s="71"/>
      <c r="J683" s="71"/>
    </row>
    <row r="684" spans="1:10">
      <c r="A684" s="71"/>
      <c r="B684" s="72"/>
      <c r="C684" s="71"/>
      <c r="D684" s="71"/>
      <c r="E684" s="71"/>
      <c r="F684" s="71"/>
      <c r="G684" s="71"/>
      <c r="H684" s="71"/>
      <c r="I684" s="71"/>
      <c r="J684" s="71"/>
    </row>
    <row r="685" spans="1:10">
      <c r="A685" s="71"/>
      <c r="B685" s="72"/>
      <c r="C685" s="71"/>
      <c r="D685" s="71"/>
      <c r="E685" s="71"/>
      <c r="F685" s="71"/>
      <c r="G685" s="71"/>
      <c r="H685" s="71"/>
      <c r="I685" s="71"/>
      <c r="J685" s="71"/>
    </row>
    <row r="686" spans="1:10">
      <c r="A686" s="71"/>
      <c r="B686" s="72"/>
      <c r="C686" s="71"/>
      <c r="D686" s="71"/>
      <c r="E686" s="71"/>
      <c r="F686" s="71"/>
      <c r="G686" s="71"/>
      <c r="H686" s="71"/>
      <c r="I686" s="71"/>
      <c r="J686" s="71"/>
    </row>
    <row r="687" spans="1:10">
      <c r="A687" s="71"/>
      <c r="B687" s="72"/>
      <c r="C687" s="71"/>
      <c r="D687" s="71"/>
      <c r="E687" s="71"/>
      <c r="F687" s="71"/>
      <c r="G687" s="71"/>
      <c r="H687" s="71"/>
      <c r="I687" s="71"/>
      <c r="J687" s="71"/>
    </row>
    <row r="688" spans="1:10">
      <c r="A688" s="71"/>
      <c r="B688" s="72"/>
      <c r="C688" s="71"/>
      <c r="D688" s="71"/>
      <c r="E688" s="71"/>
      <c r="F688" s="71"/>
      <c r="G688" s="71"/>
      <c r="H688" s="71"/>
      <c r="I688" s="71"/>
      <c r="J688" s="71"/>
    </row>
    <row r="689" spans="1:10">
      <c r="A689" s="71"/>
      <c r="B689" s="72"/>
      <c r="C689" s="71"/>
      <c r="D689" s="71"/>
      <c r="E689" s="71"/>
      <c r="F689" s="71"/>
      <c r="G689" s="71"/>
      <c r="H689" s="71"/>
      <c r="I689" s="71"/>
      <c r="J689" s="71"/>
    </row>
    <row r="690" spans="1:10">
      <c r="A690" s="71"/>
      <c r="B690" s="72"/>
      <c r="C690" s="71"/>
      <c r="D690" s="71"/>
      <c r="E690" s="71"/>
      <c r="F690" s="71"/>
      <c r="G690" s="71"/>
      <c r="H690" s="71"/>
      <c r="I690" s="71"/>
      <c r="J690" s="71"/>
    </row>
    <row r="691" spans="1:10">
      <c r="A691" s="71"/>
      <c r="B691" s="72"/>
      <c r="C691" s="71"/>
      <c r="D691" s="71"/>
      <c r="E691" s="71"/>
      <c r="F691" s="71"/>
      <c r="G691" s="71"/>
      <c r="H691" s="71"/>
      <c r="I691" s="71"/>
      <c r="J691" s="71"/>
    </row>
    <row r="692" spans="1:10">
      <c r="A692" s="71"/>
      <c r="B692" s="72"/>
      <c r="C692" s="71"/>
      <c r="D692" s="71"/>
      <c r="E692" s="71"/>
      <c r="F692" s="71"/>
      <c r="G692" s="71"/>
      <c r="H692" s="71"/>
      <c r="I692" s="71"/>
      <c r="J692" s="71"/>
    </row>
    <row r="693" spans="1:10">
      <c r="A693" s="71"/>
      <c r="B693" s="72"/>
      <c r="C693" s="71"/>
      <c r="D693" s="71"/>
      <c r="E693" s="71"/>
      <c r="F693" s="71"/>
      <c r="G693" s="71"/>
      <c r="H693" s="71"/>
      <c r="I693" s="71"/>
      <c r="J693" s="71"/>
    </row>
    <row r="694" spans="1:10">
      <c r="A694" s="71"/>
      <c r="B694" s="72"/>
      <c r="C694" s="71"/>
      <c r="D694" s="71"/>
      <c r="E694" s="71"/>
      <c r="F694" s="71"/>
      <c r="G694" s="71"/>
      <c r="H694" s="71"/>
      <c r="I694" s="71"/>
      <c r="J694" s="71"/>
    </row>
    <row r="695" spans="1:10">
      <c r="A695" s="71"/>
      <c r="B695" s="72"/>
      <c r="C695" s="71"/>
      <c r="D695" s="71"/>
      <c r="E695" s="71"/>
      <c r="F695" s="71"/>
      <c r="G695" s="71"/>
      <c r="H695" s="71"/>
      <c r="I695" s="71"/>
      <c r="J695" s="71"/>
    </row>
    <row r="696" spans="1:10">
      <c r="A696" s="71"/>
      <c r="B696" s="72"/>
      <c r="C696" s="71"/>
      <c r="D696" s="71"/>
      <c r="E696" s="71"/>
      <c r="F696" s="71"/>
      <c r="G696" s="71"/>
      <c r="H696" s="71"/>
      <c r="I696" s="71"/>
      <c r="J696" s="71"/>
    </row>
    <row r="697" spans="1:10">
      <c r="A697" s="71"/>
      <c r="B697" s="72"/>
      <c r="C697" s="71"/>
      <c r="D697" s="71"/>
      <c r="E697" s="71"/>
      <c r="F697" s="71"/>
      <c r="G697" s="71"/>
      <c r="H697" s="71"/>
      <c r="I697" s="71"/>
      <c r="J697" s="71"/>
    </row>
    <row r="698" spans="1:10">
      <c r="A698" s="71"/>
      <c r="B698" s="72"/>
      <c r="C698" s="71"/>
      <c r="D698" s="71"/>
      <c r="E698" s="71"/>
      <c r="F698" s="71"/>
      <c r="G698" s="71"/>
      <c r="H698" s="71"/>
      <c r="I698" s="71"/>
      <c r="J698" s="71"/>
    </row>
    <row r="699" spans="1:10">
      <c r="A699" s="71"/>
      <c r="B699" s="72"/>
      <c r="C699" s="71"/>
      <c r="D699" s="71"/>
      <c r="E699" s="71"/>
      <c r="F699" s="71"/>
      <c r="G699" s="71"/>
      <c r="H699" s="71"/>
      <c r="I699" s="71"/>
      <c r="J699" s="71"/>
    </row>
    <row r="700" spans="1:10">
      <c r="A700" s="71"/>
      <c r="B700" s="72"/>
      <c r="C700" s="71"/>
      <c r="D700" s="71"/>
      <c r="E700" s="71"/>
      <c r="F700" s="71"/>
      <c r="G700" s="71"/>
      <c r="H700" s="71"/>
      <c r="I700" s="71"/>
      <c r="J700" s="71"/>
    </row>
    <row r="701" spans="1:10">
      <c r="A701" s="71"/>
      <c r="B701" s="72"/>
      <c r="C701" s="71"/>
      <c r="D701" s="71"/>
      <c r="E701" s="71"/>
      <c r="F701" s="71"/>
      <c r="G701" s="71"/>
      <c r="H701" s="71"/>
      <c r="I701" s="71"/>
      <c r="J701" s="71"/>
    </row>
    <row r="702" spans="1:10">
      <c r="A702" s="71"/>
      <c r="B702" s="72"/>
      <c r="C702" s="71"/>
      <c r="D702" s="71"/>
      <c r="E702" s="71"/>
      <c r="F702" s="71"/>
      <c r="G702" s="71"/>
      <c r="H702" s="71"/>
      <c r="I702" s="71"/>
      <c r="J702" s="71"/>
    </row>
    <row r="703" spans="1:10">
      <c r="A703" s="71"/>
      <c r="B703" s="72"/>
      <c r="C703" s="71"/>
      <c r="D703" s="71"/>
      <c r="E703" s="71"/>
      <c r="F703" s="71"/>
      <c r="G703" s="71"/>
      <c r="H703" s="71"/>
      <c r="I703" s="71"/>
      <c r="J703" s="71"/>
    </row>
    <row r="704" spans="1:10">
      <c r="A704" s="71"/>
      <c r="B704" s="72"/>
      <c r="C704" s="71"/>
      <c r="D704" s="71"/>
      <c r="E704" s="71"/>
      <c r="F704" s="71"/>
      <c r="G704" s="71"/>
      <c r="H704" s="71"/>
      <c r="I704" s="71"/>
      <c r="J704" s="71"/>
    </row>
    <row r="705" spans="1:10">
      <c r="A705" s="71"/>
      <c r="B705" s="72"/>
      <c r="C705" s="71"/>
      <c r="D705" s="71"/>
      <c r="E705" s="71"/>
      <c r="F705" s="71"/>
      <c r="G705" s="71"/>
      <c r="H705" s="71"/>
      <c r="I705" s="71"/>
      <c r="J705" s="71"/>
    </row>
    <row r="706" spans="1:10">
      <c r="A706" s="71"/>
      <c r="B706" s="72"/>
      <c r="C706" s="71"/>
      <c r="D706" s="71"/>
      <c r="E706" s="71"/>
      <c r="F706" s="71"/>
      <c r="G706" s="71"/>
      <c r="H706" s="71"/>
      <c r="I706" s="71"/>
      <c r="J706" s="71"/>
    </row>
    <row r="707" spans="1:10">
      <c r="A707" s="71"/>
      <c r="B707" s="72"/>
      <c r="C707" s="71"/>
      <c r="D707" s="71"/>
      <c r="E707" s="71"/>
      <c r="F707" s="71"/>
      <c r="G707" s="71"/>
      <c r="H707" s="71"/>
      <c r="I707" s="71"/>
      <c r="J707" s="71"/>
    </row>
    <row r="708" spans="1:10">
      <c r="A708" s="71"/>
      <c r="B708" s="72"/>
      <c r="C708" s="71"/>
      <c r="D708" s="71"/>
      <c r="E708" s="71"/>
      <c r="F708" s="71"/>
      <c r="G708" s="71"/>
      <c r="H708" s="71"/>
      <c r="I708" s="71"/>
      <c r="J708" s="71"/>
    </row>
    <row r="709" spans="1:10">
      <c r="A709" s="71"/>
      <c r="B709" s="72"/>
      <c r="C709" s="71"/>
      <c r="D709" s="71"/>
      <c r="E709" s="71"/>
      <c r="F709" s="71"/>
      <c r="G709" s="71"/>
      <c r="H709" s="71"/>
      <c r="I709" s="71"/>
      <c r="J709" s="71"/>
    </row>
    <row r="710" spans="1:10">
      <c r="A710" s="71"/>
      <c r="B710" s="72"/>
      <c r="C710" s="71"/>
      <c r="D710" s="71"/>
      <c r="E710" s="71"/>
      <c r="F710" s="71"/>
      <c r="G710" s="71"/>
      <c r="H710" s="71"/>
      <c r="I710" s="71"/>
      <c r="J710" s="71"/>
    </row>
    <row r="711" spans="1:10">
      <c r="A711" s="71"/>
      <c r="B711" s="72"/>
      <c r="C711" s="71"/>
      <c r="D711" s="71"/>
      <c r="E711" s="71"/>
      <c r="F711" s="71"/>
      <c r="G711" s="71"/>
      <c r="H711" s="71"/>
      <c r="I711" s="71"/>
      <c r="J711" s="71"/>
    </row>
    <row r="712" spans="1:10">
      <c r="A712" s="71"/>
      <c r="B712" s="72"/>
      <c r="C712" s="71"/>
      <c r="D712" s="71"/>
      <c r="E712" s="71"/>
      <c r="F712" s="71"/>
      <c r="G712" s="71"/>
      <c r="H712" s="71"/>
      <c r="I712" s="71"/>
      <c r="J712" s="71"/>
    </row>
    <row r="713" spans="1:10">
      <c r="A713" s="71"/>
      <c r="B713" s="72"/>
      <c r="C713" s="71"/>
      <c r="D713" s="71"/>
      <c r="E713" s="71"/>
      <c r="F713" s="71"/>
      <c r="G713" s="71"/>
      <c r="H713" s="71"/>
      <c r="I713" s="71"/>
      <c r="J713" s="71"/>
    </row>
    <row r="714" spans="1:10">
      <c r="A714" s="71"/>
      <c r="B714" s="72"/>
      <c r="C714" s="71"/>
      <c r="D714" s="71"/>
      <c r="E714" s="71"/>
      <c r="F714" s="71"/>
      <c r="G714" s="71"/>
      <c r="H714" s="71"/>
      <c r="I714" s="71"/>
      <c r="J714" s="71"/>
    </row>
    <row r="715" spans="1:10">
      <c r="A715" s="71"/>
      <c r="B715" s="72"/>
      <c r="C715" s="71"/>
      <c r="D715" s="71"/>
      <c r="E715" s="71"/>
      <c r="F715" s="71"/>
      <c r="G715" s="71"/>
      <c r="H715" s="71"/>
      <c r="I715" s="71"/>
      <c r="J715" s="71"/>
    </row>
    <row r="716" spans="1:10">
      <c r="A716" s="71"/>
      <c r="B716" s="72"/>
      <c r="C716" s="71"/>
      <c r="D716" s="71"/>
      <c r="E716" s="71"/>
      <c r="F716" s="71"/>
      <c r="G716" s="71"/>
      <c r="H716" s="71"/>
      <c r="I716" s="71"/>
      <c r="J716" s="71"/>
    </row>
    <row r="717" spans="1:10">
      <c r="A717" s="71"/>
      <c r="B717" s="72"/>
      <c r="C717" s="71"/>
      <c r="D717" s="71"/>
      <c r="E717" s="71"/>
      <c r="F717" s="71"/>
      <c r="G717" s="71"/>
      <c r="H717" s="71"/>
      <c r="I717" s="71"/>
      <c r="J717" s="71"/>
    </row>
    <row r="718" spans="1:10">
      <c r="A718" s="71"/>
      <c r="B718" s="72"/>
      <c r="C718" s="71"/>
      <c r="D718" s="71"/>
      <c r="E718" s="71"/>
      <c r="F718" s="71"/>
      <c r="G718" s="71"/>
      <c r="H718" s="71"/>
      <c r="I718" s="71"/>
      <c r="J718" s="71"/>
    </row>
    <row r="719" spans="1:10">
      <c r="A719" s="71"/>
      <c r="B719" s="72"/>
      <c r="C719" s="71"/>
      <c r="D719" s="71"/>
      <c r="E719" s="71"/>
      <c r="F719" s="71"/>
      <c r="G719" s="71"/>
      <c r="H719" s="71"/>
      <c r="I719" s="71"/>
      <c r="J719" s="71"/>
    </row>
    <row r="720" spans="1:10">
      <c r="A720" s="71"/>
      <c r="B720" s="72"/>
      <c r="C720" s="71"/>
      <c r="D720" s="71"/>
      <c r="E720" s="71"/>
      <c r="F720" s="71"/>
      <c r="G720" s="71"/>
      <c r="H720" s="71"/>
      <c r="I720" s="71"/>
      <c r="J720" s="71"/>
    </row>
    <row r="721" spans="1:10">
      <c r="A721" s="71"/>
      <c r="B721" s="72"/>
      <c r="C721" s="71"/>
      <c r="D721" s="71"/>
      <c r="E721" s="71"/>
      <c r="F721" s="71"/>
      <c r="G721" s="71"/>
      <c r="H721" s="71"/>
      <c r="I721" s="71"/>
      <c r="J721" s="71"/>
    </row>
    <row r="722" spans="1:10">
      <c r="A722" s="71"/>
      <c r="B722" s="72"/>
      <c r="C722" s="71"/>
      <c r="D722" s="71"/>
      <c r="E722" s="71"/>
      <c r="F722" s="71"/>
      <c r="G722" s="71"/>
      <c r="H722" s="71"/>
      <c r="I722" s="71"/>
      <c r="J722" s="71"/>
    </row>
    <row r="723" spans="1:10">
      <c r="A723" s="71"/>
      <c r="B723" s="72"/>
      <c r="C723" s="71"/>
      <c r="D723" s="71"/>
      <c r="E723" s="71"/>
      <c r="F723" s="71"/>
      <c r="G723" s="71"/>
      <c r="H723" s="71"/>
      <c r="I723" s="71"/>
      <c r="J723" s="71"/>
    </row>
    <row r="724" spans="1:10">
      <c r="A724" s="71"/>
      <c r="B724" s="72"/>
      <c r="C724" s="71"/>
      <c r="D724" s="71"/>
      <c r="E724" s="71"/>
      <c r="F724" s="71"/>
      <c r="G724" s="71"/>
      <c r="H724" s="71"/>
      <c r="I724" s="71"/>
      <c r="J724" s="71"/>
    </row>
    <row r="725" spans="1:10">
      <c r="A725" s="71"/>
      <c r="B725" s="72"/>
      <c r="C725" s="71"/>
      <c r="D725" s="71"/>
      <c r="E725" s="71"/>
      <c r="F725" s="71"/>
      <c r="G725" s="71"/>
      <c r="H725" s="71"/>
      <c r="I725" s="71"/>
      <c r="J725" s="71"/>
    </row>
    <row r="726" spans="1:10">
      <c r="A726" s="71"/>
      <c r="B726" s="72"/>
      <c r="C726" s="71"/>
      <c r="D726" s="71"/>
      <c r="E726" s="71"/>
      <c r="F726" s="71"/>
      <c r="G726" s="71"/>
      <c r="H726" s="71"/>
      <c r="I726" s="71"/>
      <c r="J726" s="71"/>
    </row>
    <row r="727" spans="1:10">
      <c r="A727" s="71"/>
      <c r="B727" s="72"/>
      <c r="C727" s="71"/>
      <c r="D727" s="71"/>
      <c r="E727" s="71"/>
      <c r="F727" s="71"/>
      <c r="G727" s="71"/>
      <c r="H727" s="71"/>
      <c r="I727" s="71"/>
      <c r="J727" s="71"/>
    </row>
    <row r="728" spans="1:10">
      <c r="A728" s="71"/>
      <c r="B728" s="72"/>
      <c r="C728" s="71"/>
      <c r="D728" s="71"/>
      <c r="E728" s="71"/>
      <c r="F728" s="71"/>
      <c r="G728" s="71"/>
      <c r="H728" s="71"/>
      <c r="I728" s="71"/>
      <c r="J728" s="71"/>
    </row>
    <row r="729" spans="1:10">
      <c r="A729" s="71"/>
      <c r="B729" s="72"/>
      <c r="C729" s="71"/>
      <c r="D729" s="71"/>
      <c r="E729" s="71"/>
      <c r="F729" s="71"/>
      <c r="G729" s="71"/>
      <c r="H729" s="71"/>
      <c r="I729" s="71"/>
      <c r="J729" s="71"/>
    </row>
    <row r="730" spans="1:10">
      <c r="A730" s="71"/>
      <c r="B730" s="72"/>
      <c r="C730" s="71"/>
      <c r="D730" s="71"/>
      <c r="E730" s="71"/>
      <c r="F730" s="71"/>
      <c r="G730" s="71"/>
      <c r="H730" s="71"/>
      <c r="I730" s="71"/>
      <c r="J730" s="71"/>
    </row>
    <row r="731" spans="1:10">
      <c r="A731" s="71"/>
      <c r="B731" s="72"/>
      <c r="C731" s="71"/>
      <c r="D731" s="71"/>
      <c r="E731" s="71"/>
      <c r="F731" s="71"/>
      <c r="G731" s="71"/>
      <c r="H731" s="71"/>
      <c r="I731" s="71"/>
      <c r="J731" s="71"/>
    </row>
    <row r="732" spans="1:10">
      <c r="A732" s="71"/>
      <c r="B732" s="72"/>
      <c r="C732" s="71"/>
      <c r="D732" s="71"/>
      <c r="E732" s="71"/>
      <c r="F732" s="71"/>
      <c r="G732" s="71"/>
      <c r="H732" s="71"/>
      <c r="I732" s="71"/>
      <c r="J732" s="71"/>
    </row>
    <row r="733" spans="1:10">
      <c r="A733" s="71"/>
      <c r="B733" s="72"/>
      <c r="C733" s="71"/>
      <c r="D733" s="71"/>
      <c r="E733" s="71"/>
      <c r="F733" s="71"/>
      <c r="G733" s="71"/>
      <c r="H733" s="71"/>
      <c r="I733" s="71"/>
      <c r="J733" s="71"/>
    </row>
    <row r="734" spans="1:10">
      <c r="A734" s="71"/>
      <c r="B734" s="72"/>
      <c r="C734" s="71"/>
      <c r="D734" s="71"/>
      <c r="E734" s="71"/>
      <c r="F734" s="71"/>
      <c r="G734" s="71"/>
      <c r="H734" s="71"/>
      <c r="I734" s="71"/>
      <c r="J734" s="71"/>
    </row>
    <row r="735" spans="1:10">
      <c r="A735" s="71"/>
      <c r="B735" s="72"/>
      <c r="C735" s="71"/>
      <c r="D735" s="71"/>
      <c r="E735" s="71"/>
      <c r="F735" s="71"/>
      <c r="G735" s="71"/>
      <c r="H735" s="71"/>
      <c r="I735" s="71"/>
      <c r="J735" s="71"/>
    </row>
    <row r="736" spans="1:10">
      <c r="A736" s="71"/>
      <c r="B736" s="72"/>
      <c r="C736" s="71"/>
      <c r="D736" s="71"/>
      <c r="E736" s="71"/>
      <c r="F736" s="71"/>
      <c r="G736" s="71"/>
      <c r="H736" s="71"/>
      <c r="I736" s="71"/>
      <c r="J736" s="71"/>
    </row>
    <row r="737" spans="1:10">
      <c r="A737" s="71"/>
      <c r="B737" s="72"/>
      <c r="C737" s="71"/>
      <c r="D737" s="71"/>
      <c r="E737" s="71"/>
      <c r="F737" s="71"/>
      <c r="G737" s="71"/>
      <c r="H737" s="71"/>
      <c r="I737" s="71"/>
      <c r="J737" s="71"/>
    </row>
    <row r="738" spans="1:10">
      <c r="A738" s="71"/>
      <c r="B738" s="72"/>
      <c r="C738" s="71"/>
      <c r="D738" s="71"/>
      <c r="E738" s="71"/>
      <c r="F738" s="71"/>
      <c r="G738" s="71"/>
      <c r="H738" s="71"/>
      <c r="I738" s="71"/>
      <c r="J738" s="71"/>
    </row>
    <row r="739" spans="1:10">
      <c r="A739" s="71"/>
      <c r="B739" s="72"/>
      <c r="C739" s="71"/>
      <c r="D739" s="71"/>
      <c r="E739" s="71"/>
      <c r="F739" s="71"/>
      <c r="G739" s="71"/>
      <c r="H739" s="71"/>
      <c r="I739" s="71"/>
      <c r="J739" s="71"/>
    </row>
    <row r="740" spans="1:10">
      <c r="A740" s="71"/>
      <c r="B740" s="72"/>
      <c r="C740" s="71"/>
      <c r="D740" s="71"/>
      <c r="E740" s="71"/>
      <c r="F740" s="71"/>
      <c r="G740" s="71"/>
      <c r="H740" s="71"/>
      <c r="I740" s="71"/>
      <c r="J740" s="71"/>
    </row>
    <row r="741" spans="1:10">
      <c r="A741" s="71"/>
      <c r="B741" s="72"/>
      <c r="C741" s="71"/>
      <c r="D741" s="71"/>
      <c r="E741" s="71"/>
      <c r="F741" s="71"/>
      <c r="G741" s="71"/>
      <c r="H741" s="71"/>
      <c r="I741" s="71"/>
      <c r="J741" s="71"/>
    </row>
    <row r="742" spans="1:10">
      <c r="A742" s="71"/>
      <c r="B742" s="72"/>
      <c r="C742" s="71"/>
      <c r="D742" s="71"/>
      <c r="E742" s="71"/>
      <c r="F742" s="71"/>
      <c r="G742" s="71"/>
      <c r="H742" s="71"/>
      <c r="I742" s="71"/>
      <c r="J742" s="71"/>
    </row>
    <row r="743" spans="1:10">
      <c r="A743" s="71"/>
      <c r="B743" s="72"/>
      <c r="C743" s="71"/>
      <c r="D743" s="71"/>
      <c r="E743" s="71"/>
      <c r="F743" s="71"/>
      <c r="G743" s="71"/>
      <c r="H743" s="71"/>
      <c r="I743" s="71"/>
      <c r="J743" s="71"/>
    </row>
    <row r="744" spans="1:10">
      <c r="A744" s="71"/>
      <c r="B744" s="72"/>
      <c r="C744" s="71"/>
      <c r="D744" s="71"/>
      <c r="E744" s="71"/>
      <c r="F744" s="71"/>
      <c r="G744" s="71"/>
      <c r="H744" s="71"/>
      <c r="I744" s="71"/>
      <c r="J744" s="71"/>
    </row>
    <row r="745" spans="1:10">
      <c r="A745" s="71"/>
      <c r="B745" s="72"/>
      <c r="C745" s="71"/>
      <c r="D745" s="71"/>
      <c r="E745" s="71"/>
      <c r="F745" s="71"/>
      <c r="G745" s="71"/>
      <c r="H745" s="71"/>
      <c r="I745" s="71"/>
      <c r="J745" s="71"/>
    </row>
    <row r="746" spans="1:10">
      <c r="A746" s="71"/>
      <c r="B746" s="72"/>
      <c r="C746" s="71"/>
      <c r="D746" s="71"/>
      <c r="E746" s="71"/>
      <c r="F746" s="71"/>
      <c r="G746" s="71"/>
      <c r="H746" s="71"/>
      <c r="I746" s="71"/>
      <c r="J746" s="71"/>
    </row>
    <row r="747" spans="1:10">
      <c r="A747" s="71"/>
      <c r="B747" s="72"/>
      <c r="C747" s="71"/>
      <c r="D747" s="71"/>
      <c r="E747" s="71"/>
      <c r="F747" s="71"/>
      <c r="G747" s="71"/>
      <c r="H747" s="71"/>
      <c r="I747" s="71"/>
      <c r="J747" s="71"/>
    </row>
    <row r="748" spans="1:10">
      <c r="A748" s="71"/>
      <c r="B748" s="72"/>
      <c r="C748" s="71"/>
      <c r="D748" s="71"/>
      <c r="E748" s="71"/>
      <c r="F748" s="71"/>
      <c r="G748" s="71"/>
      <c r="H748" s="71"/>
      <c r="I748" s="71"/>
      <c r="J748" s="71"/>
    </row>
    <row r="749" spans="1:10">
      <c r="A749" s="71"/>
      <c r="B749" s="72"/>
      <c r="C749" s="71"/>
      <c r="D749" s="71"/>
      <c r="E749" s="71"/>
      <c r="F749" s="71"/>
      <c r="G749" s="71"/>
      <c r="H749" s="71"/>
      <c r="I749" s="71"/>
      <c r="J749" s="71"/>
    </row>
    <row r="750" spans="1:10">
      <c r="A750" s="71"/>
      <c r="B750" s="72"/>
      <c r="C750" s="71"/>
      <c r="D750" s="71"/>
      <c r="E750" s="71"/>
      <c r="F750" s="71"/>
      <c r="G750" s="71"/>
      <c r="H750" s="71"/>
      <c r="I750" s="71"/>
      <c r="J750" s="71"/>
    </row>
    <row r="751" spans="1:10">
      <c r="A751" s="71"/>
      <c r="B751" s="72"/>
      <c r="C751" s="71"/>
      <c r="D751" s="71"/>
      <c r="E751" s="71"/>
      <c r="F751" s="71"/>
      <c r="G751" s="71"/>
      <c r="H751" s="71"/>
      <c r="I751" s="71"/>
      <c r="J751" s="71"/>
    </row>
    <row r="752" spans="1:10">
      <c r="A752" s="71"/>
      <c r="B752" s="72"/>
      <c r="C752" s="71"/>
      <c r="D752" s="71"/>
      <c r="E752" s="71"/>
      <c r="F752" s="71"/>
      <c r="G752" s="71"/>
      <c r="H752" s="71"/>
      <c r="I752" s="71"/>
      <c r="J752" s="71"/>
    </row>
    <row r="753" spans="1:10">
      <c r="A753" s="71"/>
      <c r="B753" s="72"/>
      <c r="C753" s="71"/>
      <c r="D753" s="71"/>
      <c r="E753" s="71"/>
      <c r="F753" s="71"/>
      <c r="G753" s="71"/>
      <c r="H753" s="71"/>
      <c r="I753" s="71"/>
      <c r="J753" s="71"/>
    </row>
    <row r="754" spans="1:10">
      <c r="A754" s="71"/>
      <c r="B754" s="72"/>
      <c r="C754" s="71"/>
      <c r="D754" s="71"/>
      <c r="E754" s="71"/>
      <c r="F754" s="71"/>
      <c r="G754" s="71"/>
      <c r="H754" s="71"/>
      <c r="I754" s="71"/>
      <c r="J754" s="71"/>
    </row>
    <row r="755" spans="1:10">
      <c r="A755" s="71"/>
      <c r="B755" s="72"/>
      <c r="C755" s="71"/>
      <c r="D755" s="71"/>
      <c r="E755" s="71"/>
      <c r="F755" s="71"/>
      <c r="G755" s="71"/>
      <c r="H755" s="71"/>
      <c r="I755" s="71"/>
      <c r="J755" s="71"/>
    </row>
    <row r="756" spans="1:10">
      <c r="A756" s="71"/>
      <c r="B756" s="72"/>
      <c r="C756" s="71"/>
      <c r="D756" s="71"/>
      <c r="E756" s="71"/>
      <c r="F756" s="71"/>
      <c r="G756" s="71"/>
      <c r="H756" s="71"/>
      <c r="I756" s="71"/>
      <c r="J756" s="71"/>
    </row>
    <row r="757" spans="1:10">
      <c r="A757" s="71"/>
      <c r="B757" s="72"/>
      <c r="C757" s="71"/>
      <c r="D757" s="71"/>
      <c r="E757" s="71"/>
      <c r="F757" s="71"/>
      <c r="G757" s="71"/>
      <c r="H757" s="71"/>
      <c r="I757" s="71"/>
      <c r="J757" s="71"/>
    </row>
    <row r="758" spans="1:10">
      <c r="A758" s="71"/>
      <c r="B758" s="72"/>
      <c r="C758" s="71"/>
      <c r="D758" s="71"/>
      <c r="E758" s="71"/>
      <c r="F758" s="71"/>
      <c r="G758" s="71"/>
      <c r="H758" s="71"/>
      <c r="I758" s="71"/>
      <c r="J758" s="71"/>
    </row>
    <row r="759" spans="1:10">
      <c r="A759" s="71"/>
      <c r="B759" s="72"/>
      <c r="C759" s="71"/>
      <c r="D759" s="71"/>
      <c r="E759" s="71"/>
      <c r="F759" s="71"/>
      <c r="G759" s="71"/>
      <c r="H759" s="71"/>
      <c r="I759" s="71"/>
      <c r="J759" s="71"/>
    </row>
    <row r="760" spans="1:10">
      <c r="A760" s="71"/>
      <c r="B760" s="72"/>
      <c r="C760" s="71"/>
      <c r="D760" s="71"/>
      <c r="E760" s="71"/>
      <c r="F760" s="71"/>
      <c r="G760" s="71"/>
      <c r="H760" s="71"/>
      <c r="I760" s="71"/>
      <c r="J760" s="71"/>
    </row>
    <row r="761" spans="1:10">
      <c r="A761" s="71"/>
      <c r="B761" s="72"/>
      <c r="C761" s="71"/>
      <c r="D761" s="71"/>
      <c r="E761" s="71"/>
      <c r="F761" s="71"/>
      <c r="G761" s="71"/>
      <c r="H761" s="71"/>
      <c r="I761" s="71"/>
      <c r="J761" s="71"/>
    </row>
    <row r="762" spans="1:10">
      <c r="A762" s="71"/>
      <c r="B762" s="72"/>
      <c r="C762" s="71"/>
      <c r="D762" s="71"/>
      <c r="E762" s="71"/>
      <c r="F762" s="71"/>
      <c r="G762" s="71"/>
      <c r="H762" s="71"/>
      <c r="I762" s="71"/>
      <c r="J762" s="71"/>
    </row>
    <row r="763" spans="1:10">
      <c r="A763" s="71"/>
      <c r="B763" s="72"/>
      <c r="C763" s="71"/>
      <c r="D763" s="71"/>
      <c r="E763" s="71"/>
      <c r="F763" s="71"/>
      <c r="G763" s="71"/>
      <c r="H763" s="71"/>
      <c r="I763" s="71"/>
      <c r="J763" s="71"/>
    </row>
    <row r="764" spans="1:10">
      <c r="A764" s="71"/>
      <c r="B764" s="72"/>
      <c r="C764" s="71"/>
      <c r="D764" s="71"/>
      <c r="E764" s="71"/>
      <c r="F764" s="71"/>
      <c r="G764" s="71"/>
      <c r="H764" s="71"/>
      <c r="I764" s="71"/>
      <c r="J764" s="71"/>
    </row>
    <row r="765" spans="1:10">
      <c r="A765" s="71"/>
      <c r="B765" s="72"/>
      <c r="C765" s="71"/>
      <c r="D765" s="71"/>
      <c r="E765" s="71"/>
      <c r="F765" s="71"/>
      <c r="G765" s="71"/>
      <c r="H765" s="71"/>
      <c r="I765" s="71"/>
      <c r="J765" s="71"/>
    </row>
    <row r="766" spans="1:10">
      <c r="A766" s="71"/>
      <c r="B766" s="72"/>
      <c r="C766" s="71"/>
      <c r="D766" s="71"/>
      <c r="E766" s="71"/>
      <c r="F766" s="71"/>
      <c r="G766" s="71"/>
      <c r="H766" s="71"/>
      <c r="I766" s="71"/>
      <c r="J766" s="71"/>
    </row>
    <row r="767" spans="1:10">
      <c r="A767" s="71"/>
      <c r="B767" s="72"/>
      <c r="C767" s="71"/>
      <c r="D767" s="71"/>
      <c r="E767" s="71"/>
      <c r="F767" s="71"/>
      <c r="G767" s="71"/>
      <c r="H767" s="71"/>
      <c r="I767" s="71"/>
      <c r="J767" s="71"/>
    </row>
    <row r="768" spans="1:10">
      <c r="A768" s="71"/>
      <c r="B768" s="72"/>
      <c r="C768" s="71"/>
      <c r="D768" s="71"/>
      <c r="E768" s="71"/>
      <c r="F768" s="71"/>
      <c r="G768" s="71"/>
      <c r="H768" s="71"/>
      <c r="I768" s="71"/>
      <c r="J768" s="71"/>
    </row>
    <row r="769" spans="1:10">
      <c r="A769" s="71"/>
      <c r="B769" s="72"/>
      <c r="C769" s="71"/>
      <c r="D769" s="71"/>
      <c r="E769" s="71"/>
      <c r="F769" s="71"/>
      <c r="G769" s="71"/>
      <c r="H769" s="71"/>
      <c r="I769" s="71"/>
      <c r="J769" s="71"/>
    </row>
    <row r="770" spans="1:10">
      <c r="A770" s="71"/>
      <c r="B770" s="72"/>
      <c r="C770" s="71"/>
      <c r="D770" s="71"/>
      <c r="E770" s="71"/>
      <c r="F770" s="71"/>
      <c r="G770" s="71"/>
      <c r="H770" s="71"/>
      <c r="I770" s="71"/>
      <c r="J770" s="71"/>
    </row>
    <row r="771" spans="1:10">
      <c r="A771" s="71"/>
      <c r="B771" s="72"/>
      <c r="C771" s="71"/>
      <c r="D771" s="71"/>
      <c r="E771" s="71"/>
      <c r="F771" s="71"/>
      <c r="G771" s="71"/>
      <c r="H771" s="71"/>
      <c r="I771" s="71"/>
      <c r="J771" s="71"/>
    </row>
    <row r="772" spans="1:10">
      <c r="A772" s="71"/>
      <c r="B772" s="72"/>
      <c r="C772" s="71"/>
      <c r="D772" s="71"/>
      <c r="E772" s="71"/>
      <c r="F772" s="71"/>
      <c r="G772" s="71"/>
      <c r="H772" s="71"/>
      <c r="I772" s="71"/>
      <c r="J772" s="71"/>
    </row>
    <row r="773" spans="1:10">
      <c r="A773" s="71"/>
      <c r="B773" s="72"/>
      <c r="C773" s="71"/>
      <c r="D773" s="71"/>
      <c r="E773" s="71"/>
      <c r="F773" s="71"/>
      <c r="G773" s="71"/>
      <c r="H773" s="71"/>
      <c r="I773" s="71"/>
      <c r="J773" s="71"/>
    </row>
    <row r="774" spans="1:10">
      <c r="A774" s="71"/>
      <c r="B774" s="72"/>
      <c r="C774" s="71"/>
      <c r="D774" s="71"/>
      <c r="E774" s="71"/>
      <c r="F774" s="71"/>
      <c r="G774" s="71"/>
      <c r="H774" s="71"/>
      <c r="I774" s="71"/>
      <c r="J774" s="71"/>
    </row>
    <row r="775" spans="1:10">
      <c r="A775" s="71"/>
      <c r="B775" s="72"/>
      <c r="C775" s="71"/>
      <c r="D775" s="71"/>
      <c r="E775" s="71"/>
      <c r="F775" s="71"/>
      <c r="G775" s="71"/>
      <c r="H775" s="71"/>
      <c r="I775" s="71"/>
      <c r="J775" s="71"/>
    </row>
    <row r="776" spans="1:10">
      <c r="A776" s="71"/>
      <c r="B776" s="72"/>
      <c r="C776" s="71"/>
      <c r="D776" s="71"/>
      <c r="E776" s="71"/>
      <c r="F776" s="71"/>
      <c r="G776" s="71"/>
      <c r="H776" s="71"/>
      <c r="I776" s="71"/>
      <c r="J776" s="71"/>
    </row>
    <row r="777" spans="1:10">
      <c r="A777" s="71"/>
      <c r="B777" s="72"/>
      <c r="C777" s="71"/>
      <c r="D777" s="71"/>
      <c r="E777" s="71"/>
      <c r="F777" s="71"/>
      <c r="G777" s="71"/>
      <c r="H777" s="71"/>
      <c r="I777" s="71"/>
      <c r="J777" s="71"/>
    </row>
    <row r="778" spans="1:10">
      <c r="A778" s="71"/>
      <c r="B778" s="72"/>
      <c r="C778" s="71"/>
      <c r="D778" s="71"/>
      <c r="E778" s="71"/>
      <c r="F778" s="71"/>
      <c r="G778" s="71"/>
      <c r="H778" s="71"/>
      <c r="I778" s="71"/>
      <c r="J778" s="71"/>
    </row>
    <row r="779" spans="1:10">
      <c r="A779" s="71"/>
      <c r="B779" s="72"/>
      <c r="C779" s="71"/>
      <c r="D779" s="71"/>
      <c r="E779" s="71"/>
      <c r="F779" s="71"/>
      <c r="G779" s="71"/>
      <c r="H779" s="71"/>
      <c r="I779" s="71"/>
      <c r="J779" s="71"/>
    </row>
    <row r="780" spans="1:10">
      <c r="A780" s="71"/>
      <c r="B780" s="72"/>
      <c r="C780" s="71"/>
      <c r="D780" s="71"/>
      <c r="E780" s="71"/>
      <c r="F780" s="71"/>
      <c r="G780" s="71"/>
      <c r="H780" s="71"/>
      <c r="I780" s="71"/>
      <c r="J780" s="71"/>
    </row>
    <row r="781" spans="1:10">
      <c r="A781" s="71"/>
      <c r="B781" s="72"/>
      <c r="C781" s="71"/>
      <c r="D781" s="71"/>
      <c r="E781" s="71"/>
      <c r="F781" s="71"/>
      <c r="G781" s="71"/>
      <c r="H781" s="71"/>
      <c r="I781" s="71"/>
      <c r="J781" s="71"/>
    </row>
    <row r="782" spans="1:10">
      <c r="A782" s="71"/>
      <c r="B782" s="72"/>
      <c r="C782" s="71"/>
      <c r="D782" s="71"/>
      <c r="E782" s="71"/>
      <c r="F782" s="71"/>
      <c r="G782" s="71"/>
      <c r="H782" s="71"/>
      <c r="I782" s="71"/>
      <c r="J782" s="71"/>
    </row>
    <row r="783" spans="1:10">
      <c r="A783" s="71"/>
      <c r="B783" s="72"/>
      <c r="C783" s="71"/>
      <c r="D783" s="71"/>
      <c r="E783" s="71"/>
      <c r="F783" s="71"/>
      <c r="G783" s="71"/>
      <c r="H783" s="71"/>
      <c r="I783" s="71"/>
      <c r="J783" s="71"/>
    </row>
    <row r="784" spans="1:10">
      <c r="A784" s="71"/>
      <c r="B784" s="72"/>
      <c r="C784" s="71"/>
      <c r="D784" s="71"/>
      <c r="E784" s="71"/>
      <c r="F784" s="71"/>
      <c r="G784" s="71"/>
      <c r="H784" s="71"/>
      <c r="I784" s="71"/>
      <c r="J784" s="71"/>
    </row>
    <row r="785" spans="1:10">
      <c r="A785" s="71"/>
      <c r="B785" s="72"/>
      <c r="C785" s="71"/>
      <c r="D785" s="71"/>
      <c r="E785" s="71"/>
      <c r="F785" s="71"/>
      <c r="G785" s="71"/>
      <c r="H785" s="71"/>
      <c r="I785" s="71"/>
      <c r="J785" s="71"/>
    </row>
    <row r="786" spans="1:10">
      <c r="A786" s="71"/>
      <c r="B786" s="72"/>
      <c r="C786" s="71"/>
      <c r="D786" s="71"/>
      <c r="E786" s="71"/>
      <c r="F786" s="71"/>
      <c r="G786" s="71"/>
      <c r="H786" s="71"/>
      <c r="I786" s="71"/>
      <c r="J786" s="71"/>
    </row>
    <row r="787" spans="1:10">
      <c r="A787" s="71"/>
      <c r="B787" s="72"/>
      <c r="C787" s="71"/>
      <c r="D787" s="71"/>
      <c r="E787" s="71"/>
      <c r="F787" s="71"/>
      <c r="G787" s="71"/>
      <c r="H787" s="71"/>
      <c r="I787" s="71"/>
      <c r="J787" s="71"/>
    </row>
    <row r="788" spans="1:10">
      <c r="A788" s="71"/>
      <c r="B788" s="72"/>
      <c r="C788" s="71"/>
      <c r="D788" s="71"/>
      <c r="E788" s="71"/>
      <c r="F788" s="71"/>
      <c r="G788" s="71"/>
      <c r="H788" s="71"/>
      <c r="I788" s="71"/>
      <c r="J788" s="71"/>
    </row>
    <row r="789" spans="1:10">
      <c r="A789" s="71"/>
      <c r="B789" s="72"/>
      <c r="C789" s="71"/>
      <c r="D789" s="71"/>
      <c r="E789" s="71"/>
      <c r="F789" s="71"/>
      <c r="G789" s="71"/>
      <c r="H789" s="71"/>
      <c r="I789" s="71"/>
      <c r="J789" s="71"/>
    </row>
    <row r="790" spans="1:10">
      <c r="A790" s="71"/>
      <c r="B790" s="72"/>
      <c r="C790" s="71"/>
      <c r="D790" s="71"/>
      <c r="E790" s="71"/>
      <c r="F790" s="71"/>
      <c r="G790" s="71"/>
      <c r="H790" s="71"/>
      <c r="I790" s="71"/>
      <c r="J790" s="71"/>
    </row>
    <row r="791" spans="1:10">
      <c r="A791" s="71"/>
      <c r="B791" s="72"/>
      <c r="C791" s="71"/>
      <c r="D791" s="71"/>
      <c r="E791" s="71"/>
      <c r="F791" s="71"/>
      <c r="G791" s="71"/>
      <c r="H791" s="71"/>
      <c r="I791" s="71"/>
      <c r="J791" s="71"/>
    </row>
    <row r="792" spans="1:10">
      <c r="A792" s="71"/>
      <c r="B792" s="72"/>
      <c r="C792" s="71"/>
      <c r="D792" s="71"/>
      <c r="E792" s="71"/>
      <c r="F792" s="71"/>
      <c r="G792" s="71"/>
      <c r="H792" s="71"/>
      <c r="I792" s="71"/>
      <c r="J792" s="71"/>
    </row>
    <row r="793" spans="1:10">
      <c r="A793" s="71"/>
      <c r="B793" s="72"/>
      <c r="C793" s="71"/>
      <c r="D793" s="71"/>
      <c r="E793" s="71"/>
      <c r="F793" s="71"/>
      <c r="G793" s="71"/>
      <c r="H793" s="71"/>
      <c r="I793" s="71"/>
      <c r="J793" s="71"/>
    </row>
    <row r="794" spans="1:10">
      <c r="A794" s="71"/>
      <c r="B794" s="72"/>
      <c r="C794" s="71"/>
      <c r="D794" s="71"/>
      <c r="E794" s="71"/>
      <c r="F794" s="71"/>
      <c r="G794" s="71"/>
      <c r="H794" s="71"/>
      <c r="I794" s="71"/>
      <c r="J794" s="71"/>
    </row>
    <row r="795" spans="1:10">
      <c r="A795" s="71"/>
      <c r="B795" s="72"/>
      <c r="C795" s="71"/>
      <c r="D795" s="71"/>
      <c r="E795" s="71"/>
      <c r="F795" s="71"/>
      <c r="G795" s="71"/>
      <c r="H795" s="71"/>
      <c r="I795" s="71"/>
      <c r="J795" s="71"/>
    </row>
    <row r="796" spans="1:10">
      <c r="A796" s="71"/>
      <c r="B796" s="72"/>
      <c r="C796" s="71"/>
      <c r="D796" s="71"/>
      <c r="E796" s="71"/>
      <c r="F796" s="71"/>
      <c r="G796" s="71"/>
      <c r="H796" s="71"/>
      <c r="I796" s="71"/>
      <c r="J796" s="71"/>
    </row>
    <row r="797" spans="1:10">
      <c r="A797" s="71"/>
      <c r="B797" s="72"/>
      <c r="C797" s="71"/>
      <c r="D797" s="71"/>
      <c r="E797" s="71"/>
      <c r="F797" s="71"/>
      <c r="G797" s="71"/>
      <c r="H797" s="71"/>
      <c r="I797" s="71"/>
      <c r="J797" s="71"/>
    </row>
    <row r="798" spans="1:10">
      <c r="A798" s="71"/>
      <c r="B798" s="72"/>
      <c r="C798" s="71"/>
      <c r="D798" s="71"/>
      <c r="E798" s="71"/>
      <c r="F798" s="71"/>
      <c r="G798" s="71"/>
      <c r="H798" s="71"/>
      <c r="I798" s="71"/>
      <c r="J798" s="71"/>
    </row>
    <row r="799" spans="1:10">
      <c r="A799" s="71"/>
      <c r="B799" s="72"/>
      <c r="C799" s="71"/>
      <c r="D799" s="71"/>
      <c r="E799" s="71"/>
      <c r="F799" s="71"/>
      <c r="G799" s="71"/>
      <c r="H799" s="71"/>
      <c r="I799" s="71"/>
      <c r="J799" s="71"/>
    </row>
    <row r="800" spans="1:10">
      <c r="A800" s="71"/>
      <c r="B800" s="72"/>
      <c r="C800" s="71"/>
      <c r="D800" s="71"/>
      <c r="E800" s="71"/>
      <c r="F800" s="71"/>
      <c r="G800" s="71"/>
      <c r="H800" s="71"/>
      <c r="I800" s="71"/>
      <c r="J800" s="71"/>
    </row>
    <row r="801" spans="1:10">
      <c r="A801" s="71"/>
      <c r="B801" s="72"/>
      <c r="C801" s="71"/>
      <c r="D801" s="71"/>
      <c r="E801" s="71"/>
      <c r="F801" s="71"/>
      <c r="G801" s="71"/>
      <c r="H801" s="71"/>
      <c r="I801" s="71"/>
      <c r="J801" s="71"/>
    </row>
    <row r="802" spans="1:10">
      <c r="A802" s="71"/>
      <c r="B802" s="72"/>
      <c r="C802" s="71"/>
      <c r="D802" s="71"/>
      <c r="E802" s="71"/>
      <c r="F802" s="71"/>
      <c r="G802" s="71"/>
      <c r="H802" s="71"/>
      <c r="I802" s="71"/>
      <c r="J802" s="71"/>
    </row>
    <row r="803" spans="1:10">
      <c r="A803" s="71"/>
      <c r="B803" s="72"/>
      <c r="C803" s="71"/>
      <c r="D803" s="71"/>
      <c r="E803" s="71"/>
      <c r="F803" s="71"/>
      <c r="G803" s="71"/>
      <c r="H803" s="71"/>
      <c r="I803" s="71"/>
      <c r="J803" s="71"/>
    </row>
    <row r="804" spans="1:10">
      <c r="A804" s="71"/>
      <c r="B804" s="72"/>
      <c r="C804" s="71"/>
      <c r="D804" s="71"/>
      <c r="E804" s="71"/>
      <c r="F804" s="71"/>
      <c r="G804" s="71"/>
      <c r="H804" s="71"/>
      <c r="I804" s="71"/>
      <c r="J804" s="71"/>
    </row>
    <row r="805" spans="1:10">
      <c r="A805" s="71"/>
      <c r="B805" s="72"/>
      <c r="C805" s="71"/>
      <c r="D805" s="71"/>
      <c r="E805" s="71"/>
      <c r="F805" s="71"/>
      <c r="G805" s="71"/>
      <c r="H805" s="71"/>
      <c r="I805" s="71"/>
      <c r="J805" s="71"/>
    </row>
    <row r="806" spans="1:10">
      <c r="A806" s="71"/>
      <c r="B806" s="72"/>
      <c r="C806" s="71"/>
      <c r="D806" s="71"/>
      <c r="E806" s="71"/>
      <c r="F806" s="71"/>
      <c r="G806" s="71"/>
      <c r="H806" s="71"/>
      <c r="I806" s="71"/>
      <c r="J806" s="71"/>
    </row>
    <row r="807" spans="1:10">
      <c r="A807" s="71"/>
      <c r="B807" s="72"/>
      <c r="C807" s="71"/>
      <c r="D807" s="71"/>
      <c r="E807" s="71"/>
      <c r="F807" s="71"/>
      <c r="G807" s="71"/>
      <c r="H807" s="71"/>
      <c r="I807" s="71"/>
      <c r="J807" s="71"/>
    </row>
    <row r="808" spans="1:10">
      <c r="A808" s="71"/>
      <c r="B808" s="72"/>
      <c r="C808" s="71"/>
      <c r="D808" s="71"/>
      <c r="E808" s="71"/>
      <c r="F808" s="71"/>
      <c r="G808" s="71"/>
      <c r="H808" s="71"/>
      <c r="I808" s="71"/>
      <c r="J808" s="71"/>
    </row>
    <row r="809" spans="1:10">
      <c r="A809" s="71"/>
      <c r="B809" s="72"/>
      <c r="C809" s="71"/>
      <c r="D809" s="71"/>
      <c r="E809" s="71"/>
      <c r="F809" s="71"/>
      <c r="G809" s="71"/>
      <c r="H809" s="71"/>
      <c r="I809" s="71"/>
      <c r="J809" s="71"/>
    </row>
    <row r="810" spans="1:10">
      <c r="A810" s="71"/>
      <c r="B810" s="72"/>
      <c r="C810" s="71"/>
      <c r="D810" s="71"/>
      <c r="E810" s="71"/>
      <c r="F810" s="71"/>
      <c r="G810" s="71"/>
      <c r="H810" s="71"/>
      <c r="I810" s="71"/>
      <c r="J810" s="71"/>
    </row>
    <row r="811" spans="1:10">
      <c r="A811" s="71"/>
      <c r="B811" s="72"/>
      <c r="C811" s="71"/>
      <c r="D811" s="71"/>
      <c r="E811" s="71"/>
      <c r="F811" s="71"/>
      <c r="G811" s="71"/>
      <c r="H811" s="71"/>
      <c r="I811" s="71"/>
      <c r="J811" s="71"/>
    </row>
    <row r="812" spans="1:10">
      <c r="A812" s="71"/>
      <c r="B812" s="72"/>
      <c r="C812" s="71"/>
      <c r="D812" s="71"/>
      <c r="E812" s="71"/>
      <c r="F812" s="71"/>
      <c r="G812" s="71"/>
      <c r="H812" s="71"/>
      <c r="I812" s="71"/>
      <c r="J812" s="71"/>
    </row>
    <row r="813" spans="1:10">
      <c r="A813" s="71"/>
      <c r="B813" s="72"/>
      <c r="C813" s="71"/>
      <c r="D813" s="71"/>
      <c r="E813" s="71"/>
      <c r="F813" s="71"/>
      <c r="G813" s="71"/>
      <c r="H813" s="71"/>
      <c r="I813" s="71"/>
      <c r="J813" s="71"/>
    </row>
    <row r="814" spans="1:10">
      <c r="A814" s="71"/>
      <c r="B814" s="72"/>
      <c r="C814" s="71"/>
      <c r="D814" s="71"/>
      <c r="E814" s="71"/>
      <c r="F814" s="71"/>
      <c r="G814" s="71"/>
      <c r="H814" s="71"/>
      <c r="I814" s="71"/>
      <c r="J814" s="71"/>
    </row>
    <row r="815" spans="1:10">
      <c r="A815" s="71"/>
      <c r="B815" s="72"/>
      <c r="C815" s="71"/>
      <c r="D815" s="71"/>
      <c r="E815" s="71"/>
      <c r="F815" s="71"/>
      <c r="G815" s="71"/>
      <c r="H815" s="71"/>
      <c r="I815" s="71"/>
      <c r="J815" s="71"/>
    </row>
    <row r="816" spans="1:10">
      <c r="A816" s="71"/>
      <c r="B816" s="72"/>
      <c r="C816" s="71"/>
      <c r="D816" s="71"/>
      <c r="E816" s="71"/>
      <c r="F816" s="71"/>
      <c r="G816" s="71"/>
      <c r="H816" s="71"/>
      <c r="I816" s="71"/>
      <c r="J816" s="71"/>
    </row>
    <row r="817" spans="1:10">
      <c r="A817" s="71"/>
      <c r="B817" s="72"/>
      <c r="C817" s="71"/>
      <c r="D817" s="71"/>
      <c r="E817" s="71"/>
      <c r="F817" s="71"/>
      <c r="G817" s="71"/>
      <c r="H817" s="71"/>
      <c r="I817" s="71"/>
      <c r="J817" s="71"/>
    </row>
    <row r="818" spans="1:10">
      <c r="A818" s="71"/>
      <c r="B818" s="72"/>
      <c r="C818" s="71"/>
      <c r="D818" s="71"/>
      <c r="E818" s="71"/>
      <c r="F818" s="71"/>
      <c r="G818" s="71"/>
      <c r="H818" s="71"/>
      <c r="I818" s="71"/>
      <c r="J818" s="71"/>
    </row>
    <row r="819" spans="1:10">
      <c r="A819" s="71"/>
      <c r="B819" s="72"/>
      <c r="C819" s="71"/>
      <c r="D819" s="71"/>
      <c r="E819" s="71"/>
      <c r="F819" s="71"/>
      <c r="G819" s="71"/>
      <c r="H819" s="71"/>
      <c r="I819" s="71"/>
      <c r="J819" s="71"/>
    </row>
    <row r="820" spans="1:10">
      <c r="A820" s="71"/>
      <c r="B820" s="72"/>
      <c r="C820" s="71"/>
      <c r="D820" s="71"/>
      <c r="E820" s="71"/>
      <c r="F820" s="71"/>
      <c r="G820" s="71"/>
      <c r="H820" s="71"/>
      <c r="I820" s="71"/>
      <c r="J820" s="71"/>
    </row>
    <row r="821" spans="1:10">
      <c r="A821" s="71"/>
      <c r="B821" s="72"/>
      <c r="C821" s="71"/>
      <c r="D821" s="71"/>
      <c r="E821" s="71"/>
      <c r="F821" s="71"/>
      <c r="G821" s="71"/>
      <c r="H821" s="71"/>
      <c r="I821" s="71"/>
      <c r="J821" s="71"/>
    </row>
    <row r="822" spans="1:10">
      <c r="A822" s="71"/>
      <c r="B822" s="72"/>
      <c r="C822" s="71"/>
      <c r="D822" s="71"/>
      <c r="E822" s="71"/>
      <c r="F822" s="71"/>
      <c r="G822" s="71"/>
      <c r="H822" s="71"/>
      <c r="I822" s="71"/>
      <c r="J822" s="71"/>
    </row>
    <row r="823" spans="1:10">
      <c r="A823" s="71"/>
      <c r="B823" s="72"/>
      <c r="C823" s="71"/>
      <c r="D823" s="71"/>
      <c r="E823" s="71"/>
      <c r="F823" s="71"/>
      <c r="G823" s="71"/>
      <c r="H823" s="71"/>
      <c r="I823" s="71"/>
      <c r="J823" s="71"/>
    </row>
    <row r="824" spans="1:10">
      <c r="A824" s="71"/>
      <c r="B824" s="72"/>
      <c r="C824" s="71"/>
      <c r="D824" s="71"/>
      <c r="E824" s="71"/>
      <c r="F824" s="71"/>
      <c r="G824" s="71"/>
      <c r="H824" s="71"/>
      <c r="I824" s="71"/>
      <c r="J824" s="71"/>
    </row>
    <row r="825" spans="1:10">
      <c r="A825" s="71"/>
      <c r="B825" s="72"/>
      <c r="C825" s="71"/>
      <c r="D825" s="71"/>
      <c r="E825" s="71"/>
      <c r="F825" s="71"/>
      <c r="G825" s="71"/>
      <c r="H825" s="71"/>
      <c r="I825" s="71"/>
      <c r="J825" s="71"/>
    </row>
    <row r="826" spans="1:10">
      <c r="A826" s="71"/>
      <c r="B826" s="72"/>
      <c r="C826" s="71"/>
      <c r="D826" s="71"/>
      <c r="E826" s="71"/>
      <c r="F826" s="71"/>
      <c r="G826" s="71"/>
      <c r="H826" s="71"/>
      <c r="I826" s="71"/>
      <c r="J826" s="71"/>
    </row>
    <row r="827" spans="1:10">
      <c r="A827" s="71"/>
      <c r="B827" s="72"/>
      <c r="C827" s="71"/>
      <c r="D827" s="71"/>
      <c r="E827" s="71"/>
      <c r="F827" s="71"/>
      <c r="G827" s="71"/>
      <c r="H827" s="71"/>
      <c r="I827" s="71"/>
      <c r="J827" s="71"/>
    </row>
    <row r="828" spans="1:10">
      <c r="A828" s="71"/>
      <c r="B828" s="72"/>
      <c r="C828" s="71"/>
      <c r="D828" s="71"/>
      <c r="E828" s="71"/>
      <c r="F828" s="71"/>
      <c r="G828" s="71"/>
      <c r="H828" s="71"/>
      <c r="I828" s="71"/>
      <c r="J828" s="71"/>
    </row>
    <row r="829" spans="1:10">
      <c r="A829" s="71"/>
      <c r="B829" s="72"/>
      <c r="C829" s="71"/>
      <c r="D829" s="71"/>
      <c r="E829" s="71"/>
      <c r="F829" s="71"/>
      <c r="G829" s="71"/>
      <c r="H829" s="71"/>
      <c r="I829" s="71"/>
      <c r="J829" s="71"/>
    </row>
    <row r="830" spans="1:10">
      <c r="A830" s="71"/>
      <c r="B830" s="72"/>
      <c r="C830" s="71"/>
      <c r="D830" s="71"/>
      <c r="E830" s="71"/>
      <c r="F830" s="71"/>
      <c r="G830" s="71"/>
      <c r="H830" s="71"/>
      <c r="I830" s="71"/>
      <c r="J830" s="71"/>
    </row>
    <row r="831" spans="1:10">
      <c r="A831" s="71"/>
      <c r="B831" s="72"/>
      <c r="C831" s="71"/>
      <c r="D831" s="71"/>
      <c r="E831" s="71"/>
      <c r="F831" s="71"/>
      <c r="G831" s="71"/>
      <c r="H831" s="71"/>
      <c r="I831" s="71"/>
      <c r="J831" s="71"/>
    </row>
    <row r="832" spans="1:10">
      <c r="A832" s="71"/>
      <c r="B832" s="72"/>
      <c r="C832" s="71"/>
      <c r="D832" s="71"/>
      <c r="E832" s="71"/>
      <c r="F832" s="71"/>
      <c r="G832" s="71"/>
      <c r="H832" s="71"/>
      <c r="I832" s="71"/>
      <c r="J832" s="71"/>
    </row>
    <row r="833" spans="1:10">
      <c r="A833" s="71"/>
      <c r="B833" s="72"/>
      <c r="C833" s="71"/>
      <c r="D833" s="71"/>
      <c r="E833" s="71"/>
      <c r="F833" s="71"/>
      <c r="G833" s="71"/>
      <c r="H833" s="71"/>
      <c r="I833" s="71"/>
      <c r="J833" s="71"/>
    </row>
    <row r="834" spans="1:10">
      <c r="A834" s="71"/>
      <c r="B834" s="72"/>
      <c r="C834" s="71"/>
      <c r="D834" s="71"/>
      <c r="E834" s="71"/>
      <c r="F834" s="71"/>
      <c r="G834" s="71"/>
      <c r="H834" s="71"/>
      <c r="I834" s="71"/>
      <c r="J834" s="71"/>
    </row>
    <row r="835" spans="1:10">
      <c r="A835" s="71"/>
      <c r="B835" s="72"/>
      <c r="C835" s="71"/>
      <c r="D835" s="71"/>
      <c r="E835" s="71"/>
      <c r="F835" s="71"/>
      <c r="G835" s="71"/>
      <c r="H835" s="71"/>
      <c r="I835" s="71"/>
      <c r="J835" s="71"/>
    </row>
    <row r="836" spans="1:10">
      <c r="A836" s="71"/>
      <c r="B836" s="72"/>
      <c r="C836" s="71"/>
      <c r="D836" s="71"/>
      <c r="E836" s="71"/>
      <c r="F836" s="71"/>
      <c r="G836" s="71"/>
      <c r="H836" s="71"/>
      <c r="I836" s="71"/>
      <c r="J836" s="71"/>
    </row>
    <row r="837" spans="1:10">
      <c r="A837" s="71"/>
      <c r="B837" s="72"/>
      <c r="C837" s="71"/>
      <c r="D837" s="71"/>
      <c r="E837" s="71"/>
      <c r="F837" s="71"/>
      <c r="G837" s="71"/>
      <c r="H837" s="71"/>
      <c r="I837" s="71"/>
      <c r="J837" s="71"/>
    </row>
    <row r="838" spans="1:10">
      <c r="A838" s="71"/>
      <c r="B838" s="72"/>
      <c r="C838" s="71"/>
      <c r="D838" s="71"/>
      <c r="E838" s="71"/>
      <c r="F838" s="71"/>
      <c r="G838" s="71"/>
      <c r="H838" s="71"/>
      <c r="I838" s="71"/>
      <c r="J838" s="71"/>
    </row>
    <row r="839" spans="1:10">
      <c r="A839" s="71"/>
      <c r="B839" s="72"/>
      <c r="C839" s="71"/>
      <c r="D839" s="71"/>
      <c r="E839" s="71"/>
      <c r="F839" s="71"/>
      <c r="G839" s="71"/>
      <c r="H839" s="71"/>
      <c r="I839" s="71"/>
      <c r="J839" s="71"/>
    </row>
    <row r="840" spans="1:10">
      <c r="A840" s="71"/>
      <c r="B840" s="72"/>
      <c r="C840" s="71"/>
      <c r="D840" s="71"/>
      <c r="E840" s="71"/>
      <c r="F840" s="71"/>
      <c r="G840" s="71"/>
      <c r="H840" s="71"/>
      <c r="I840" s="71"/>
      <c r="J840" s="71"/>
    </row>
    <row r="841" spans="1:10">
      <c r="A841" s="71"/>
      <c r="B841" s="72"/>
      <c r="C841" s="71"/>
      <c r="D841" s="71"/>
      <c r="E841" s="71"/>
      <c r="F841" s="71"/>
      <c r="G841" s="71"/>
      <c r="H841" s="71"/>
      <c r="I841" s="71"/>
      <c r="J841" s="71"/>
    </row>
    <row r="842" spans="1:10">
      <c r="A842" s="71"/>
      <c r="B842" s="72"/>
      <c r="C842" s="71"/>
      <c r="D842" s="71"/>
      <c r="E842" s="71"/>
      <c r="F842" s="71"/>
      <c r="G842" s="71"/>
      <c r="H842" s="71"/>
      <c r="I842" s="71"/>
      <c r="J842" s="71"/>
    </row>
    <row r="843" spans="1:10">
      <c r="A843" s="71"/>
      <c r="B843" s="72"/>
      <c r="C843" s="71"/>
      <c r="D843" s="71"/>
      <c r="E843" s="71"/>
      <c r="F843" s="71"/>
      <c r="G843" s="71"/>
      <c r="H843" s="71"/>
      <c r="I843" s="71"/>
      <c r="J843" s="71"/>
    </row>
    <row r="844" spans="1:10">
      <c r="A844" s="71"/>
      <c r="B844" s="72"/>
      <c r="C844" s="71"/>
      <c r="D844" s="71"/>
      <c r="E844" s="71"/>
      <c r="F844" s="71"/>
      <c r="G844" s="71"/>
      <c r="H844" s="71"/>
      <c r="I844" s="71"/>
      <c r="J844" s="71"/>
    </row>
    <row r="845" spans="1:10">
      <c r="A845" s="71"/>
      <c r="B845" s="72"/>
      <c r="C845" s="71"/>
      <c r="D845" s="71"/>
      <c r="E845" s="71"/>
      <c r="F845" s="71"/>
      <c r="G845" s="71"/>
      <c r="H845" s="71"/>
      <c r="I845" s="71"/>
      <c r="J845" s="71"/>
    </row>
    <row r="846" spans="1:10">
      <c r="A846" s="71"/>
      <c r="B846" s="72"/>
      <c r="C846" s="71"/>
      <c r="D846" s="71"/>
      <c r="E846" s="71"/>
      <c r="F846" s="71"/>
      <c r="G846" s="71"/>
      <c r="H846" s="71"/>
      <c r="I846" s="71"/>
      <c r="J846" s="71"/>
    </row>
    <row r="847" spans="1:10">
      <c r="A847" s="71"/>
      <c r="B847" s="72"/>
      <c r="C847" s="71"/>
      <c r="D847" s="71"/>
      <c r="E847" s="71"/>
      <c r="F847" s="71"/>
      <c r="G847" s="71"/>
      <c r="H847" s="71"/>
      <c r="I847" s="71"/>
      <c r="J847" s="71"/>
    </row>
    <row r="848" spans="1:10">
      <c r="A848" s="71"/>
      <c r="B848" s="72"/>
      <c r="C848" s="71"/>
      <c r="D848" s="71"/>
      <c r="E848" s="71"/>
      <c r="F848" s="71"/>
      <c r="G848" s="71"/>
      <c r="H848" s="71"/>
      <c r="I848" s="71"/>
      <c r="J848" s="71"/>
    </row>
    <row r="849" spans="1:10">
      <c r="A849" s="71"/>
      <c r="B849" s="72"/>
      <c r="C849" s="71"/>
      <c r="D849" s="71"/>
      <c r="E849" s="71"/>
      <c r="F849" s="71"/>
      <c r="G849" s="71"/>
      <c r="H849" s="71"/>
      <c r="I849" s="71"/>
      <c r="J849" s="71"/>
    </row>
    <row r="850" spans="1:10">
      <c r="A850" s="71"/>
      <c r="B850" s="72"/>
      <c r="C850" s="71"/>
      <c r="D850" s="71"/>
      <c r="E850" s="71"/>
      <c r="F850" s="71"/>
      <c r="G850" s="71"/>
      <c r="H850" s="71"/>
      <c r="I850" s="71"/>
      <c r="J850" s="71"/>
    </row>
    <row r="851" spans="1:10">
      <c r="A851" s="71"/>
      <c r="B851" s="72"/>
      <c r="C851" s="71"/>
      <c r="D851" s="71"/>
      <c r="E851" s="71"/>
      <c r="F851" s="71"/>
      <c r="G851" s="71"/>
      <c r="H851" s="71"/>
      <c r="I851" s="71"/>
      <c r="J851" s="71"/>
    </row>
    <row r="852" spans="1:10">
      <c r="A852" s="71"/>
      <c r="B852" s="72"/>
      <c r="C852" s="71"/>
      <c r="D852" s="71"/>
      <c r="E852" s="71"/>
      <c r="F852" s="71"/>
      <c r="G852" s="71"/>
      <c r="H852" s="71"/>
      <c r="I852" s="71"/>
      <c r="J852" s="71"/>
    </row>
    <row r="853" spans="1:10">
      <c r="A853" s="71"/>
      <c r="B853" s="72"/>
      <c r="C853" s="71"/>
      <c r="D853" s="71"/>
      <c r="E853" s="71"/>
      <c r="F853" s="71"/>
      <c r="G853" s="71"/>
      <c r="H853" s="71"/>
      <c r="I853" s="71"/>
      <c r="J853" s="71"/>
    </row>
    <row r="854" spans="1:10">
      <c r="A854" s="71"/>
      <c r="B854" s="72"/>
      <c r="C854" s="71"/>
      <c r="D854" s="71"/>
      <c r="E854" s="71"/>
      <c r="F854" s="71"/>
      <c r="G854" s="71"/>
      <c r="H854" s="71"/>
      <c r="I854" s="71"/>
      <c r="J854" s="71"/>
    </row>
    <row r="855" spans="1:10">
      <c r="A855" s="71"/>
      <c r="B855" s="72"/>
      <c r="C855" s="71"/>
      <c r="D855" s="71"/>
      <c r="E855" s="71"/>
      <c r="F855" s="71"/>
      <c r="G855" s="71"/>
      <c r="H855" s="71"/>
      <c r="I855" s="71"/>
      <c r="J855" s="71"/>
    </row>
    <row r="856" spans="1:10">
      <c r="A856" s="71"/>
      <c r="B856" s="72"/>
      <c r="C856" s="71"/>
      <c r="D856" s="71"/>
      <c r="E856" s="71"/>
      <c r="F856" s="71"/>
      <c r="G856" s="71"/>
      <c r="H856" s="71"/>
      <c r="I856" s="71"/>
      <c r="J856" s="71"/>
    </row>
    <row r="857" spans="1:10">
      <c r="A857" s="71"/>
      <c r="B857" s="72"/>
      <c r="C857" s="71"/>
      <c r="D857" s="71"/>
      <c r="E857" s="71"/>
      <c r="F857" s="71"/>
      <c r="G857" s="71"/>
      <c r="H857" s="71"/>
      <c r="I857" s="71"/>
      <c r="J857" s="71"/>
    </row>
    <row r="858" spans="1:10">
      <c r="A858" s="71"/>
      <c r="B858" s="72"/>
      <c r="C858" s="71"/>
      <c r="D858" s="71"/>
      <c r="E858" s="71"/>
      <c r="F858" s="71"/>
      <c r="G858" s="71"/>
      <c r="H858" s="71"/>
      <c r="I858" s="71"/>
      <c r="J858" s="71"/>
    </row>
    <row r="859" spans="1:10">
      <c r="A859" s="71"/>
      <c r="B859" s="72"/>
      <c r="C859" s="71"/>
      <c r="D859" s="71"/>
      <c r="E859" s="71"/>
      <c r="F859" s="71"/>
      <c r="G859" s="71"/>
      <c r="H859" s="71"/>
      <c r="I859" s="71"/>
      <c r="J859" s="71"/>
    </row>
    <row r="860" spans="1:10">
      <c r="A860" s="71"/>
      <c r="B860" s="72"/>
      <c r="C860" s="71"/>
      <c r="D860" s="71"/>
      <c r="E860" s="71"/>
      <c r="F860" s="71"/>
      <c r="G860" s="71"/>
      <c r="H860" s="71"/>
      <c r="I860" s="71"/>
      <c r="J860" s="71"/>
    </row>
    <row r="861" spans="1:10">
      <c r="A861" s="71"/>
      <c r="B861" s="72"/>
      <c r="C861" s="71"/>
      <c r="D861" s="71"/>
      <c r="E861" s="71"/>
      <c r="F861" s="71"/>
      <c r="G861" s="71"/>
      <c r="H861" s="71"/>
      <c r="I861" s="71"/>
      <c r="J861" s="71"/>
    </row>
    <row r="862" spans="1:10">
      <c r="A862" s="71"/>
      <c r="B862" s="72"/>
      <c r="C862" s="71"/>
      <c r="D862" s="71"/>
      <c r="E862" s="71"/>
      <c r="F862" s="71"/>
      <c r="G862" s="71"/>
      <c r="H862" s="71"/>
      <c r="I862" s="71"/>
      <c r="J862" s="71"/>
    </row>
    <row r="863" spans="1:10">
      <c r="A863" s="71"/>
      <c r="B863" s="72"/>
      <c r="C863" s="71"/>
      <c r="D863" s="71"/>
      <c r="E863" s="71"/>
      <c r="F863" s="71"/>
      <c r="G863" s="71"/>
      <c r="H863" s="71"/>
      <c r="I863" s="71"/>
      <c r="J863" s="71"/>
    </row>
    <row r="864" spans="1:10">
      <c r="A864" s="71"/>
      <c r="B864" s="72"/>
      <c r="C864" s="71"/>
      <c r="D864" s="71"/>
      <c r="E864" s="71"/>
      <c r="F864" s="71"/>
      <c r="G864" s="71"/>
      <c r="H864" s="71"/>
      <c r="I864" s="71"/>
      <c r="J864" s="71"/>
    </row>
    <row r="865" spans="1:10">
      <c r="A865" s="71"/>
      <c r="B865" s="72"/>
      <c r="C865" s="71"/>
      <c r="D865" s="71"/>
      <c r="E865" s="71"/>
      <c r="F865" s="71"/>
      <c r="G865" s="71"/>
      <c r="H865" s="71"/>
      <c r="I865" s="71"/>
      <c r="J865" s="71"/>
    </row>
    <row r="866" spans="1:10">
      <c r="A866" s="71"/>
      <c r="B866" s="72"/>
      <c r="C866" s="71"/>
      <c r="D866" s="71"/>
      <c r="E866" s="71"/>
      <c r="F866" s="71"/>
      <c r="G866" s="71"/>
      <c r="H866" s="71"/>
      <c r="I866" s="71"/>
      <c r="J866" s="71"/>
    </row>
    <row r="867" spans="1:10">
      <c r="A867" s="71"/>
      <c r="B867" s="72"/>
      <c r="C867" s="71"/>
      <c r="D867" s="71"/>
      <c r="E867" s="71"/>
      <c r="F867" s="71"/>
      <c r="G867" s="71"/>
      <c r="H867" s="71"/>
      <c r="I867" s="71"/>
      <c r="J867" s="71"/>
    </row>
    <row r="868" spans="1:10">
      <c r="A868" s="71"/>
      <c r="B868" s="72"/>
      <c r="C868" s="71"/>
      <c r="D868" s="71"/>
      <c r="E868" s="71"/>
      <c r="F868" s="71"/>
      <c r="G868" s="71"/>
      <c r="H868" s="71"/>
      <c r="I868" s="71"/>
      <c r="J868" s="71"/>
    </row>
    <row r="869" spans="1:10">
      <c r="A869" s="71"/>
      <c r="B869" s="72"/>
      <c r="C869" s="71"/>
      <c r="D869" s="71"/>
      <c r="E869" s="71"/>
      <c r="F869" s="71"/>
      <c r="G869" s="71"/>
      <c r="H869" s="71"/>
      <c r="I869" s="71"/>
      <c r="J869" s="71"/>
    </row>
    <row r="870" spans="1:10">
      <c r="A870" s="71"/>
      <c r="B870" s="72"/>
      <c r="C870" s="71"/>
      <c r="D870" s="71"/>
      <c r="E870" s="71"/>
      <c r="F870" s="71"/>
      <c r="G870" s="71"/>
      <c r="H870" s="71"/>
      <c r="I870" s="71"/>
      <c r="J870" s="71"/>
    </row>
    <row r="871" spans="1:10">
      <c r="A871" s="71"/>
      <c r="B871" s="72"/>
      <c r="C871" s="71"/>
      <c r="D871" s="71"/>
      <c r="E871" s="71"/>
      <c r="F871" s="71"/>
      <c r="G871" s="71"/>
      <c r="H871" s="71"/>
      <c r="I871" s="71"/>
      <c r="J871" s="71"/>
    </row>
    <row r="872" spans="1:10">
      <c r="A872" s="71"/>
      <c r="B872" s="72"/>
      <c r="C872" s="71"/>
      <c r="D872" s="71"/>
      <c r="E872" s="71"/>
      <c r="F872" s="71"/>
      <c r="G872" s="71"/>
      <c r="H872" s="71"/>
      <c r="I872" s="71"/>
      <c r="J872" s="71"/>
    </row>
    <row r="873" spans="1:10">
      <c r="A873" s="71"/>
      <c r="B873" s="72"/>
      <c r="C873" s="71"/>
      <c r="D873" s="71"/>
      <c r="E873" s="71"/>
      <c r="F873" s="71"/>
      <c r="G873" s="71"/>
      <c r="H873" s="71"/>
      <c r="I873" s="71"/>
      <c r="J873" s="71"/>
    </row>
    <row r="874" spans="1:10">
      <c r="A874" s="71"/>
      <c r="B874" s="72"/>
      <c r="C874" s="71"/>
      <c r="D874" s="71"/>
      <c r="E874" s="71"/>
      <c r="F874" s="71"/>
      <c r="G874" s="71"/>
      <c r="H874" s="71"/>
      <c r="I874" s="71"/>
      <c r="J874" s="71"/>
    </row>
    <row r="875" spans="1:10">
      <c r="A875" s="71"/>
      <c r="B875" s="72"/>
      <c r="C875" s="71"/>
      <c r="D875" s="71"/>
      <c r="E875" s="71"/>
      <c r="F875" s="71"/>
      <c r="G875" s="71"/>
      <c r="H875" s="71"/>
      <c r="I875" s="71"/>
      <c r="J875" s="71"/>
    </row>
    <row r="876" spans="1:10">
      <c r="A876" s="71"/>
      <c r="B876" s="72"/>
      <c r="C876" s="71"/>
      <c r="D876" s="71"/>
      <c r="E876" s="71"/>
      <c r="F876" s="71"/>
      <c r="G876" s="71"/>
      <c r="H876" s="71"/>
      <c r="I876" s="71"/>
      <c r="J876" s="71"/>
    </row>
    <row r="877" spans="1:10">
      <c r="A877" s="71"/>
      <c r="B877" s="72"/>
      <c r="C877" s="71"/>
      <c r="D877" s="71"/>
      <c r="E877" s="71"/>
      <c r="F877" s="71"/>
      <c r="G877" s="71"/>
      <c r="H877" s="71"/>
      <c r="I877" s="71"/>
      <c r="J877" s="71"/>
    </row>
    <row r="878" spans="1:10">
      <c r="A878" s="71"/>
      <c r="B878" s="72"/>
      <c r="C878" s="71"/>
      <c r="D878" s="71"/>
      <c r="E878" s="71"/>
      <c r="F878" s="71"/>
      <c r="G878" s="71"/>
      <c r="H878" s="71"/>
      <c r="I878" s="71"/>
      <c r="J878" s="71"/>
    </row>
    <row r="879" spans="1:10">
      <c r="A879" s="71"/>
      <c r="B879" s="72"/>
      <c r="C879" s="71"/>
      <c r="D879" s="71"/>
      <c r="E879" s="71"/>
      <c r="F879" s="71"/>
      <c r="G879" s="71"/>
      <c r="H879" s="71"/>
      <c r="I879" s="71"/>
      <c r="J879" s="71"/>
    </row>
    <row r="880" spans="1:10">
      <c r="A880" s="71"/>
      <c r="B880" s="72"/>
      <c r="C880" s="71"/>
      <c r="D880" s="71"/>
      <c r="E880" s="71"/>
      <c r="F880" s="71"/>
      <c r="G880" s="71"/>
      <c r="H880" s="71"/>
      <c r="I880" s="71"/>
      <c r="J880" s="71"/>
    </row>
    <row r="881" spans="1:10">
      <c r="A881" s="71"/>
      <c r="B881" s="72"/>
      <c r="C881" s="71"/>
      <c r="D881" s="71"/>
      <c r="E881" s="71"/>
      <c r="F881" s="71"/>
      <c r="G881" s="71"/>
      <c r="H881" s="71"/>
      <c r="I881" s="71"/>
      <c r="J881" s="71"/>
    </row>
    <row r="882" spans="1:10">
      <c r="A882" s="71"/>
      <c r="B882" s="72"/>
      <c r="C882" s="71"/>
      <c r="D882" s="71"/>
      <c r="E882" s="71"/>
      <c r="F882" s="71"/>
      <c r="G882" s="71"/>
      <c r="H882" s="71"/>
      <c r="I882" s="71"/>
      <c r="J882" s="71"/>
    </row>
    <row r="883" spans="1:10">
      <c r="A883" s="71"/>
      <c r="B883" s="72"/>
      <c r="C883" s="71"/>
      <c r="D883" s="71"/>
      <c r="E883" s="71"/>
      <c r="F883" s="71"/>
      <c r="G883" s="71"/>
      <c r="H883" s="71"/>
      <c r="I883" s="71"/>
      <c r="J883" s="71"/>
    </row>
    <row r="884" spans="1:10">
      <c r="A884" s="71"/>
      <c r="B884" s="72"/>
      <c r="C884" s="71"/>
      <c r="D884" s="71"/>
      <c r="E884" s="71"/>
      <c r="F884" s="71"/>
      <c r="G884" s="71"/>
      <c r="H884" s="71"/>
      <c r="I884" s="71"/>
      <c r="J884" s="71"/>
    </row>
    <row r="885" spans="1:10">
      <c r="A885" s="71"/>
      <c r="B885" s="72"/>
      <c r="C885" s="71"/>
      <c r="D885" s="71"/>
      <c r="E885" s="71"/>
      <c r="F885" s="71"/>
      <c r="G885" s="71"/>
      <c r="H885" s="71"/>
      <c r="I885" s="71"/>
      <c r="J885" s="71"/>
    </row>
    <row r="886" spans="1:10">
      <c r="A886" s="71"/>
      <c r="B886" s="72"/>
      <c r="C886" s="71"/>
      <c r="D886" s="71"/>
      <c r="E886" s="71"/>
      <c r="F886" s="71"/>
      <c r="G886" s="71"/>
      <c r="H886" s="71"/>
      <c r="I886" s="71"/>
      <c r="J886" s="71"/>
    </row>
    <row r="887" spans="1:10">
      <c r="A887" s="71"/>
      <c r="B887" s="72"/>
      <c r="C887" s="71"/>
      <c r="D887" s="71"/>
      <c r="E887" s="71"/>
      <c r="F887" s="71"/>
      <c r="G887" s="71"/>
      <c r="H887" s="71"/>
      <c r="I887" s="71"/>
      <c r="J887" s="71"/>
    </row>
    <row r="888" spans="1:10">
      <c r="A888" s="71"/>
      <c r="B888" s="72"/>
      <c r="C888" s="71"/>
      <c r="D888" s="71"/>
      <c r="E888" s="71"/>
      <c r="F888" s="71"/>
      <c r="G888" s="71"/>
      <c r="H888" s="71"/>
      <c r="I888" s="71"/>
      <c r="J888" s="71"/>
    </row>
    <row r="889" spans="1:10">
      <c r="A889" s="71"/>
      <c r="B889" s="72"/>
      <c r="C889" s="71"/>
      <c r="D889" s="71"/>
      <c r="E889" s="71"/>
      <c r="F889" s="71"/>
      <c r="G889" s="71"/>
      <c r="H889" s="71"/>
      <c r="I889" s="71"/>
      <c r="J889" s="71"/>
    </row>
    <row r="890" spans="1:10">
      <c r="A890" s="71"/>
      <c r="B890" s="72"/>
      <c r="C890" s="71"/>
      <c r="D890" s="71"/>
      <c r="E890" s="71"/>
      <c r="F890" s="71"/>
      <c r="G890" s="71"/>
      <c r="H890" s="71"/>
      <c r="I890" s="71"/>
      <c r="J890" s="71"/>
    </row>
    <row r="891" spans="1:10">
      <c r="A891" s="71"/>
      <c r="B891" s="72"/>
      <c r="C891" s="71"/>
      <c r="D891" s="71"/>
      <c r="E891" s="71"/>
      <c r="F891" s="71"/>
      <c r="G891" s="71"/>
      <c r="H891" s="71"/>
      <c r="I891" s="71"/>
      <c r="J891" s="71"/>
    </row>
    <row r="892" spans="1:10">
      <c r="A892" s="71"/>
      <c r="B892" s="72"/>
      <c r="C892" s="71"/>
      <c r="D892" s="71"/>
      <c r="E892" s="71"/>
      <c r="F892" s="71"/>
      <c r="G892" s="71"/>
      <c r="H892" s="71"/>
      <c r="I892" s="71"/>
      <c r="J892" s="71"/>
    </row>
    <row r="893" spans="1:10">
      <c r="A893" s="71"/>
      <c r="B893" s="72"/>
      <c r="C893" s="71"/>
      <c r="D893" s="71"/>
      <c r="E893" s="71"/>
      <c r="F893" s="71"/>
      <c r="G893" s="71"/>
      <c r="H893" s="71"/>
      <c r="I893" s="71"/>
      <c r="J893" s="71"/>
    </row>
    <row r="894" spans="1:10">
      <c r="A894" s="71"/>
      <c r="B894" s="72"/>
      <c r="C894" s="71"/>
      <c r="D894" s="71"/>
      <c r="E894" s="71"/>
      <c r="F894" s="71"/>
      <c r="G894" s="71"/>
      <c r="H894" s="71"/>
      <c r="I894" s="71"/>
      <c r="J894" s="71"/>
    </row>
    <row r="895" spans="1:10">
      <c r="A895" s="71"/>
      <c r="B895" s="72"/>
      <c r="C895" s="71"/>
      <c r="D895" s="71"/>
      <c r="E895" s="71"/>
      <c r="F895" s="71"/>
      <c r="G895" s="71"/>
      <c r="H895" s="71"/>
      <c r="I895" s="71"/>
      <c r="J895" s="71"/>
    </row>
    <row r="896" spans="1:10">
      <c r="A896" s="71"/>
      <c r="B896" s="72"/>
      <c r="C896" s="71"/>
      <c r="D896" s="71"/>
      <c r="E896" s="71"/>
      <c r="F896" s="71"/>
      <c r="G896" s="71"/>
      <c r="H896" s="71"/>
      <c r="I896" s="71"/>
      <c r="J896" s="71"/>
    </row>
    <row r="897" spans="1:10">
      <c r="A897" s="71"/>
      <c r="B897" s="72"/>
      <c r="C897" s="71"/>
      <c r="D897" s="71"/>
      <c r="E897" s="71"/>
      <c r="F897" s="71"/>
      <c r="G897" s="71"/>
      <c r="H897" s="71"/>
      <c r="I897" s="71"/>
      <c r="J897" s="71"/>
    </row>
    <row r="898" spans="1:10">
      <c r="A898" s="71"/>
      <c r="B898" s="72"/>
      <c r="C898" s="71"/>
      <c r="D898" s="71"/>
      <c r="E898" s="71"/>
      <c r="F898" s="71"/>
      <c r="G898" s="71"/>
      <c r="H898" s="71"/>
      <c r="I898" s="71"/>
      <c r="J898" s="71"/>
    </row>
    <row r="899" spans="1:10">
      <c r="A899" s="71"/>
      <c r="B899" s="72"/>
      <c r="C899" s="71"/>
      <c r="D899" s="71"/>
      <c r="E899" s="71"/>
      <c r="F899" s="71"/>
      <c r="G899" s="71"/>
      <c r="H899" s="71"/>
      <c r="I899" s="71"/>
      <c r="J899" s="71"/>
    </row>
    <row r="900" spans="1:10">
      <c r="A900" s="71"/>
      <c r="B900" s="72"/>
      <c r="C900" s="71"/>
      <c r="D900" s="71"/>
      <c r="E900" s="71"/>
      <c r="F900" s="71"/>
      <c r="G900" s="71"/>
      <c r="H900" s="71"/>
      <c r="I900" s="71"/>
      <c r="J900" s="71"/>
    </row>
    <row r="901" spans="1:10">
      <c r="A901" s="71"/>
      <c r="B901" s="72"/>
      <c r="C901" s="71"/>
      <c r="D901" s="71"/>
      <c r="E901" s="71"/>
      <c r="F901" s="71"/>
      <c r="G901" s="71"/>
      <c r="H901" s="71"/>
      <c r="I901" s="71"/>
      <c r="J901" s="71"/>
    </row>
    <row r="902" spans="1:10">
      <c r="A902" s="71"/>
      <c r="B902" s="72"/>
      <c r="C902" s="71"/>
      <c r="D902" s="71"/>
      <c r="E902" s="71"/>
      <c r="F902" s="71"/>
      <c r="G902" s="71"/>
      <c r="H902" s="71"/>
      <c r="I902" s="71"/>
      <c r="J902" s="71"/>
    </row>
    <row r="903" spans="1:10">
      <c r="A903" s="71"/>
      <c r="B903" s="72"/>
      <c r="C903" s="71"/>
      <c r="D903" s="71"/>
      <c r="E903" s="71"/>
      <c r="F903" s="71"/>
      <c r="G903" s="71"/>
      <c r="H903" s="71"/>
      <c r="I903" s="71"/>
      <c r="J903" s="71"/>
    </row>
    <row r="904" spans="1:10">
      <c r="A904" s="71"/>
      <c r="B904" s="72"/>
      <c r="C904" s="71"/>
      <c r="D904" s="71"/>
      <c r="E904" s="71"/>
      <c r="F904" s="71"/>
      <c r="G904" s="71"/>
      <c r="H904" s="71"/>
      <c r="I904" s="71"/>
      <c r="J904" s="71"/>
    </row>
    <row r="905" spans="1:10">
      <c r="A905" s="71"/>
      <c r="B905" s="72"/>
      <c r="C905" s="71"/>
      <c r="D905" s="71"/>
      <c r="E905" s="71"/>
      <c r="F905" s="71"/>
      <c r="G905" s="71"/>
      <c r="H905" s="71"/>
      <c r="I905" s="71"/>
      <c r="J905" s="71"/>
    </row>
    <row r="906" spans="1:10">
      <c r="A906" s="71"/>
      <c r="B906" s="72"/>
      <c r="C906" s="71"/>
      <c r="D906" s="71"/>
      <c r="E906" s="71"/>
      <c r="F906" s="71"/>
      <c r="G906" s="71"/>
      <c r="H906" s="71"/>
      <c r="I906" s="71"/>
      <c r="J906" s="71"/>
    </row>
    <row r="907" spans="1:10">
      <c r="A907" s="71"/>
      <c r="B907" s="72"/>
      <c r="C907" s="71"/>
      <c r="D907" s="71"/>
      <c r="E907" s="71"/>
      <c r="F907" s="71"/>
      <c r="G907" s="71"/>
      <c r="H907" s="71"/>
      <c r="I907" s="71"/>
      <c r="J907" s="71"/>
    </row>
    <row r="908" spans="1:10">
      <c r="A908" s="71"/>
      <c r="B908" s="72"/>
      <c r="C908" s="71"/>
      <c r="D908" s="71"/>
      <c r="E908" s="71"/>
      <c r="F908" s="71"/>
      <c r="G908" s="71"/>
      <c r="H908" s="71"/>
      <c r="I908" s="71"/>
      <c r="J908" s="71"/>
    </row>
    <row r="909" spans="1:10">
      <c r="A909" s="71"/>
      <c r="B909" s="72"/>
      <c r="C909" s="71"/>
      <c r="D909" s="71"/>
      <c r="E909" s="71"/>
      <c r="F909" s="71"/>
      <c r="G909" s="71"/>
      <c r="H909" s="71"/>
      <c r="I909" s="71"/>
      <c r="J909" s="71"/>
    </row>
    <row r="910" spans="1:10">
      <c r="A910" s="71"/>
      <c r="B910" s="72"/>
      <c r="C910" s="71"/>
      <c r="D910" s="71"/>
      <c r="E910" s="71"/>
      <c r="F910" s="71"/>
      <c r="G910" s="71"/>
      <c r="H910" s="71"/>
      <c r="I910" s="71"/>
      <c r="J910" s="71"/>
    </row>
    <row r="911" spans="1:10">
      <c r="A911" s="71"/>
      <c r="B911" s="72"/>
      <c r="C911" s="71"/>
      <c r="D911" s="71"/>
      <c r="E911" s="71"/>
      <c r="F911" s="71"/>
      <c r="G911" s="71"/>
      <c r="H911" s="71"/>
      <c r="I911" s="71"/>
      <c r="J911" s="71"/>
    </row>
    <row r="912" spans="1:10">
      <c r="A912" s="71"/>
      <c r="B912" s="72"/>
      <c r="C912" s="71"/>
      <c r="D912" s="71"/>
      <c r="E912" s="71"/>
      <c r="F912" s="71"/>
      <c r="G912" s="71"/>
      <c r="H912" s="71"/>
      <c r="I912" s="71"/>
      <c r="J912" s="71"/>
    </row>
    <row r="913" spans="1:10">
      <c r="A913" s="71"/>
      <c r="B913" s="72"/>
      <c r="C913" s="71"/>
      <c r="D913" s="71"/>
      <c r="E913" s="71"/>
      <c r="F913" s="71"/>
      <c r="G913" s="71"/>
      <c r="H913" s="71"/>
      <c r="I913" s="71"/>
      <c r="J913" s="71"/>
    </row>
    <row r="914" spans="1:10">
      <c r="A914" s="71"/>
      <c r="B914" s="72"/>
      <c r="C914" s="71"/>
      <c r="D914" s="71"/>
      <c r="E914" s="71"/>
      <c r="F914" s="71"/>
      <c r="G914" s="71"/>
      <c r="H914" s="71"/>
      <c r="I914" s="71"/>
      <c r="J914" s="71"/>
    </row>
    <row r="915" spans="1:10">
      <c r="A915" s="71"/>
      <c r="B915" s="72"/>
      <c r="C915" s="71"/>
      <c r="D915" s="71"/>
      <c r="E915" s="71"/>
      <c r="F915" s="71"/>
      <c r="G915" s="71"/>
      <c r="H915" s="71"/>
      <c r="I915" s="71"/>
      <c r="J915" s="71"/>
    </row>
    <row r="916" spans="1:10">
      <c r="A916" s="71"/>
      <c r="B916" s="72"/>
      <c r="C916" s="71"/>
      <c r="D916" s="71"/>
      <c r="E916" s="71"/>
      <c r="F916" s="71"/>
      <c r="G916" s="71"/>
      <c r="H916" s="71"/>
      <c r="I916" s="71"/>
      <c r="J916" s="71"/>
    </row>
    <row r="917" spans="1:10">
      <c r="A917" s="71"/>
      <c r="B917" s="72"/>
      <c r="C917" s="71"/>
      <c r="D917" s="71"/>
      <c r="E917" s="71"/>
      <c r="F917" s="71"/>
      <c r="G917" s="71"/>
      <c r="H917" s="71"/>
      <c r="I917" s="71"/>
      <c r="J917" s="71"/>
    </row>
  </sheetData>
  <mergeCells count="6">
    <mergeCell ref="B47:C47"/>
    <mergeCell ref="B1:I1"/>
    <mergeCell ref="B2:I2"/>
    <mergeCell ref="D35:E35"/>
    <mergeCell ref="F35:G35"/>
    <mergeCell ref="H35:I35"/>
  </mergeCells>
  <conditionalFormatting sqref="A20:B25">
    <cfRule type="cellIs" dxfId="53" priority="13" operator="equal">
      <formula>0</formula>
    </cfRule>
  </conditionalFormatting>
  <conditionalFormatting sqref="A26:G28">
    <cfRule type="cellIs" dxfId="52" priority="16" operator="equal">
      <formula>0</formula>
    </cfRule>
  </conditionalFormatting>
  <conditionalFormatting sqref="A1:I19">
    <cfRule type="cellIs" dxfId="51" priority="12" operator="equal">
      <formula>0</formula>
    </cfRule>
  </conditionalFormatting>
  <conditionalFormatting sqref="A29:J34">
    <cfRule type="cellIs" dxfId="50" priority="18" operator="equal">
      <formula>0</formula>
    </cfRule>
  </conditionalFormatting>
  <conditionalFormatting sqref="A36:J45">
    <cfRule type="cellIs" dxfId="49" priority="5" operator="equal">
      <formula>0</formula>
    </cfRule>
  </conditionalFormatting>
  <conditionalFormatting sqref="B37:B46">
    <cfRule type="cellIs" dxfId="48" priority="22" operator="equal">
      <formula>0</formula>
    </cfRule>
  </conditionalFormatting>
  <conditionalFormatting sqref="D27:G28 B23:G27">
    <cfRule type="cellIs" dxfId="47" priority="8" operator="equal">
      <formula>0</formula>
    </cfRule>
  </conditionalFormatting>
  <conditionalFormatting sqref="C49:C53">
    <cfRule type="cellIs" dxfId="46" priority="15" operator="equal">
      <formula>0</formula>
    </cfRule>
  </conditionalFormatting>
  <conditionalFormatting sqref="C55:C59">
    <cfRule type="cellIs" dxfId="45" priority="14" operator="equal">
      <formula>0</formula>
    </cfRule>
  </conditionalFormatting>
  <conditionalFormatting sqref="C21:G21">
    <cfRule type="cellIs" dxfId="44" priority="2" operator="equal">
      <formula>0</formula>
    </cfRule>
  </conditionalFormatting>
  <conditionalFormatting sqref="C20:I20 C22:I22">
    <cfRule type="cellIs" dxfId="43" priority="11" operator="equal">
      <formula>0</formula>
    </cfRule>
  </conditionalFormatting>
  <conditionalFormatting sqref="D36:G47">
    <cfRule type="expression" dxfId="42" priority="7">
      <formula>#REF!="hide"</formula>
    </cfRule>
  </conditionalFormatting>
  <conditionalFormatting sqref="D37:I46">
    <cfRule type="cellIs" dxfId="41" priority="4" operator="equal">
      <formula>0</formula>
    </cfRule>
  </conditionalFormatting>
  <conditionalFormatting sqref="H38:H46">
    <cfRule type="cellIs" dxfId="40" priority="3" operator="equal">
      <formula>0</formula>
    </cfRule>
  </conditionalFormatting>
  <conditionalFormatting sqref="I21">
    <cfRule type="cellIs" dxfId="39" priority="10" operator="equal">
      <formula>0</formula>
    </cfRule>
  </conditionalFormatting>
  <conditionalFormatting sqref="I23:I26">
    <cfRule type="cellIs" dxfId="38" priority="9" operator="equal">
      <formula>0</formula>
    </cfRule>
  </conditionalFormatting>
  <conditionalFormatting sqref="I27:J28 A35:C35 H35:J35 A46:G46 I46:J46 A47:J47 J26">
    <cfRule type="cellIs" dxfId="37" priority="21" operator="equal">
      <formula>0</formula>
    </cfRule>
  </conditionalFormatting>
  <conditionalFormatting sqref="J1:J25">
    <cfRule type="cellIs" dxfId="36" priority="17" operator="equal">
      <formula>0</formula>
    </cfRule>
  </conditionalFormatting>
  <conditionalFormatting sqref="H25">
    <cfRule type="cellIs" dxfId="35" priority="1" operator="equal">
      <formula>0</formula>
    </cfRule>
  </conditionalFormatting>
  <dataValidations count="1">
    <dataValidation allowBlank="1" showErrorMessage="1" sqref="F19:I21 C20:E21 C22:I28" xr:uid="{D947BC5E-9595-418A-9E8B-1074BF44937B}"/>
  </dataValidations>
  <pageMargins left="0.7" right="0.16" top="0.75" bottom="0.75" header="0.3" footer="0.3"/>
  <pageSetup paperSize="9"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8D18E-F16F-4C4C-A3BC-2B6670446E0C}">
  <sheetPr>
    <tabColor rgb="FFC00000"/>
  </sheetPr>
  <dimension ref="A1:R910"/>
  <sheetViews>
    <sheetView topLeftCell="A19" zoomScale="115" zoomScaleNormal="115" workbookViewId="0">
      <selection activeCell="H46" sqref="H46"/>
    </sheetView>
  </sheetViews>
  <sheetFormatPr defaultRowHeight="15" outlineLevelRow="1"/>
  <cols>
    <col min="1" max="1" width="1.3984375" style="77" customWidth="1"/>
    <col min="2" max="2" width="7.09765625" style="77" customWidth="1"/>
    <col min="3" max="3" width="73.09765625" style="77" customWidth="1"/>
    <col min="4" max="4" width="7.3984375" style="77" customWidth="1"/>
    <col min="5" max="5" width="22.3984375" style="77" hidden="1" customWidth="1"/>
    <col min="6" max="6" width="8.09765625" style="77" hidden="1" customWidth="1"/>
    <col min="7" max="7" width="18.296875" style="77" hidden="1" customWidth="1"/>
    <col min="8" max="8" width="9" style="77" bestFit="1" customWidth="1"/>
    <col min="9" max="9" width="24.3984375" style="77" customWidth="1"/>
    <col min="10" max="10" width="2.3984375" style="77" customWidth="1"/>
    <col min="11" max="11" width="13.8984375" bestFit="1" customWidth="1"/>
    <col min="13" max="13" width="15.3984375" bestFit="1" customWidth="1"/>
    <col min="14" max="14" width="42.3984375" bestFit="1" customWidth="1"/>
    <col min="15" max="15" width="17.3984375" customWidth="1"/>
    <col min="16" max="16" width="18.296875" customWidth="1"/>
    <col min="17" max="17" width="17.8984375" bestFit="1" customWidth="1"/>
    <col min="18" max="18" width="17.3984375" bestFit="1" customWidth="1"/>
  </cols>
  <sheetData>
    <row r="1" spans="1:11" ht="21">
      <c r="A1" s="1"/>
      <c r="B1" s="175" t="s">
        <v>0</v>
      </c>
      <c r="C1" s="175"/>
      <c r="D1" s="175"/>
      <c r="E1" s="175"/>
      <c r="F1" s="175"/>
      <c r="G1" s="175"/>
      <c r="H1" s="175"/>
      <c r="I1" s="175"/>
      <c r="J1" s="2"/>
    </row>
    <row r="2" spans="1:11" ht="60.6" customHeight="1">
      <c r="A2" s="1"/>
      <c r="B2" s="176" t="s">
        <v>1</v>
      </c>
      <c r="C2" s="176"/>
      <c r="D2" s="176"/>
      <c r="E2" s="176"/>
      <c r="F2" s="176"/>
      <c r="G2" s="176"/>
      <c r="H2" s="176"/>
      <c r="I2" s="176"/>
      <c r="J2" s="2"/>
    </row>
    <row r="3" spans="1:11">
      <c r="A3" s="1"/>
      <c r="B3" s="3"/>
      <c r="C3" s="1"/>
      <c r="D3" s="1"/>
      <c r="E3" s="1"/>
      <c r="F3" s="1"/>
      <c r="G3" s="1"/>
      <c r="H3" s="1"/>
      <c r="I3" s="1"/>
      <c r="J3" s="1"/>
    </row>
    <row r="4" spans="1:11" ht="15.6">
      <c r="A4" s="1"/>
      <c r="B4" s="4" t="s">
        <v>2</v>
      </c>
      <c r="C4" s="5" t="s">
        <v>3</v>
      </c>
      <c r="D4" s="5"/>
      <c r="E4" s="5"/>
      <c r="F4" s="5"/>
      <c r="G4" s="5"/>
      <c r="H4" s="5"/>
      <c r="I4" s="6"/>
      <c r="J4" s="1"/>
    </row>
    <row r="5" spans="1:11" ht="15.6">
      <c r="A5" s="1"/>
      <c r="B5" s="7">
        <v>1</v>
      </c>
      <c r="C5" s="8" t="s">
        <v>4</v>
      </c>
      <c r="D5" s="8"/>
      <c r="E5" s="8"/>
      <c r="F5" s="8"/>
      <c r="G5" s="8"/>
      <c r="H5" s="9"/>
      <c r="I5" s="87" t="str">
        <f>TTKQ!I5</f>
        <v>S2.3108</v>
      </c>
      <c r="J5" s="1"/>
      <c r="K5" s="99" t="s">
        <v>50</v>
      </c>
    </row>
    <row r="6" spans="1:11">
      <c r="A6" s="1"/>
      <c r="B6" s="10">
        <v>2</v>
      </c>
      <c r="C6" s="11" t="s">
        <v>46</v>
      </c>
      <c r="D6" s="11"/>
      <c r="E6" s="11"/>
      <c r="F6" s="11"/>
      <c r="G6" s="11"/>
      <c r="H6" s="12"/>
      <c r="I6" s="13" t="str">
        <f>TTKQ!I6</f>
        <v>Imperia Sky Park</v>
      </c>
      <c r="J6" s="1"/>
      <c r="K6" s="99" t="s">
        <v>50</v>
      </c>
    </row>
    <row r="7" spans="1:11">
      <c r="A7" s="1"/>
      <c r="B7" s="10">
        <v>3</v>
      </c>
      <c r="C7" s="11" t="s">
        <v>5</v>
      </c>
      <c r="D7" s="11"/>
      <c r="E7" s="11"/>
      <c r="F7" s="11"/>
      <c r="G7" s="11"/>
      <c r="H7" s="12"/>
      <c r="I7" s="13" t="str">
        <f>TTKQ!I7</f>
        <v>S2</v>
      </c>
      <c r="J7" s="1"/>
      <c r="K7" s="99" t="s">
        <v>50</v>
      </c>
    </row>
    <row r="8" spans="1:11">
      <c r="A8" s="1"/>
      <c r="B8" s="10">
        <v>4</v>
      </c>
      <c r="C8" s="11" t="s">
        <v>6</v>
      </c>
      <c r="D8" s="11"/>
      <c r="E8" s="11"/>
      <c r="F8" s="11"/>
      <c r="G8" s="11"/>
      <c r="H8" s="12"/>
      <c r="I8" s="13">
        <f>TTKQ!I8</f>
        <v>12</v>
      </c>
      <c r="J8" s="1"/>
      <c r="K8" s="99" t="s">
        <v>50</v>
      </c>
    </row>
    <row r="9" spans="1:11">
      <c r="A9" s="1"/>
      <c r="B9" s="10">
        <v>5</v>
      </c>
      <c r="C9" s="11" t="s">
        <v>7</v>
      </c>
      <c r="D9" s="11"/>
      <c r="E9" s="11"/>
      <c r="F9" s="11"/>
      <c r="G9" s="11"/>
      <c r="H9" s="12"/>
      <c r="I9" s="13" t="str">
        <f>TTKQ!I9</f>
        <v>08</v>
      </c>
      <c r="J9" s="1"/>
      <c r="K9" s="99" t="s">
        <v>50</v>
      </c>
    </row>
    <row r="10" spans="1:11" ht="15.6">
      <c r="A10" s="1"/>
      <c r="B10" s="10">
        <v>6</v>
      </c>
      <c r="C10" s="11" t="s">
        <v>8</v>
      </c>
      <c r="D10" s="11"/>
      <c r="E10" s="11"/>
      <c r="F10" s="11"/>
      <c r="G10" s="11"/>
      <c r="H10" s="12"/>
      <c r="I10" s="87">
        <f>TTKQ!I10</f>
        <v>0</v>
      </c>
      <c r="J10" s="1"/>
      <c r="K10" s="99" t="s">
        <v>50</v>
      </c>
    </row>
    <row r="11" spans="1:11" ht="15.6">
      <c r="A11" s="1"/>
      <c r="B11" s="10">
        <v>7</v>
      </c>
      <c r="C11" s="11" t="s">
        <v>49</v>
      </c>
      <c r="D11" s="86"/>
      <c r="E11" s="86"/>
      <c r="F11" s="86"/>
      <c r="G11" s="86"/>
      <c r="H11" s="1"/>
      <c r="I11" s="88">
        <f>TTKQ!I11</f>
        <v>0</v>
      </c>
      <c r="J11" s="1"/>
      <c r="K11" s="99" t="s">
        <v>50</v>
      </c>
    </row>
    <row r="12" spans="1:11" ht="15.6">
      <c r="A12" s="1"/>
      <c r="B12" s="4" t="s">
        <v>9</v>
      </c>
      <c r="C12" s="5" t="s">
        <v>10</v>
      </c>
      <c r="D12" s="5"/>
      <c r="E12" s="5"/>
      <c r="F12" s="5"/>
      <c r="G12" s="5"/>
      <c r="H12" s="5"/>
      <c r="I12" s="6"/>
      <c r="J12" s="1"/>
    </row>
    <row r="13" spans="1:11" ht="15.6">
      <c r="A13" s="1"/>
      <c r="B13" s="14"/>
      <c r="C13" s="15" t="s">
        <v>11</v>
      </c>
      <c r="D13" s="16"/>
      <c r="E13" s="16"/>
      <c r="F13" s="16"/>
      <c r="G13" s="16"/>
      <c r="H13" s="17"/>
      <c r="I13" s="89">
        <f>TTKQ!I13</f>
        <v>9424447600</v>
      </c>
      <c r="J13" s="1"/>
      <c r="K13" s="99" t="s">
        <v>50</v>
      </c>
    </row>
    <row r="14" spans="1:11">
      <c r="A14" s="1"/>
      <c r="B14" s="18"/>
      <c r="C14" s="19" t="s">
        <v>12</v>
      </c>
      <c r="D14" s="19"/>
      <c r="E14" s="19"/>
      <c r="F14" s="19"/>
      <c r="G14" s="19"/>
      <c r="H14" s="20"/>
      <c r="I14" s="21">
        <f>TTKQ!I14</f>
        <v>942444760</v>
      </c>
      <c r="J14" s="1"/>
      <c r="K14" s="99" t="s">
        <v>50</v>
      </c>
    </row>
    <row r="15" spans="1:11" ht="15.6">
      <c r="A15" s="1"/>
      <c r="B15" s="18"/>
      <c r="C15" s="15" t="s">
        <v>13</v>
      </c>
      <c r="D15" s="19"/>
      <c r="E15" s="19"/>
      <c r="F15" s="19"/>
      <c r="G15" s="19"/>
      <c r="H15" s="20"/>
      <c r="I15" s="89">
        <f>TTKQ!I15</f>
        <v>10366892360</v>
      </c>
      <c r="J15" s="1"/>
      <c r="K15" s="99" t="s">
        <v>50</v>
      </c>
    </row>
    <row r="16" spans="1:11">
      <c r="A16" s="1"/>
      <c r="B16" s="18"/>
      <c r="C16" s="19" t="s">
        <v>14</v>
      </c>
      <c r="D16" s="19"/>
      <c r="E16" s="19"/>
      <c r="F16" s="19"/>
      <c r="G16" s="19"/>
      <c r="H16" s="20"/>
      <c r="I16" s="21">
        <f>TTKQ!I16</f>
        <v>188488952</v>
      </c>
      <c r="J16" s="1"/>
      <c r="K16" s="99" t="s">
        <v>50</v>
      </c>
    </row>
    <row r="17" spans="1:18" ht="15.6">
      <c r="A17" s="1"/>
      <c r="B17" s="22"/>
      <c r="C17" s="23" t="s">
        <v>15</v>
      </c>
      <c r="D17" s="24"/>
      <c r="E17" s="24"/>
      <c r="F17" s="24"/>
      <c r="G17" s="24"/>
      <c r="H17" s="25"/>
      <c r="I17" s="90">
        <f>TTKQ!I17</f>
        <v>10555381312</v>
      </c>
      <c r="J17" s="1"/>
      <c r="K17" s="99" t="s">
        <v>50</v>
      </c>
    </row>
    <row r="18" spans="1:18" ht="15.6">
      <c r="A18" s="1"/>
      <c r="B18" s="27" t="s">
        <v>16</v>
      </c>
      <c r="C18" s="28" t="s">
        <v>17</v>
      </c>
      <c r="D18" s="5"/>
      <c r="E18" s="5"/>
      <c r="F18" s="5"/>
      <c r="G18" s="5"/>
      <c r="H18" s="5"/>
      <c r="I18" s="6"/>
      <c r="J18" s="1"/>
    </row>
    <row r="19" spans="1:18" ht="15.6">
      <c r="A19" s="1"/>
      <c r="B19" s="29" t="s">
        <v>18</v>
      </c>
      <c r="C19" s="30" t="s">
        <v>19</v>
      </c>
      <c r="D19" s="31"/>
      <c r="E19" s="31"/>
      <c r="F19" s="31"/>
      <c r="G19" s="31"/>
      <c r="H19" s="31"/>
      <c r="I19" s="81" t="s">
        <v>36</v>
      </c>
      <c r="J19" s="1"/>
    </row>
    <row r="20" spans="1:18" ht="15.6">
      <c r="A20" s="1"/>
      <c r="B20" s="93" t="s">
        <v>20</v>
      </c>
      <c r="C20" s="94" t="s">
        <v>51</v>
      </c>
      <c r="D20" s="92"/>
      <c r="E20" s="92"/>
      <c r="F20" s="92"/>
      <c r="G20" s="92"/>
      <c r="H20" s="92"/>
      <c r="I20" s="95">
        <f>I22+I28+I21</f>
        <v>-1334529463.2</v>
      </c>
      <c r="J20" s="1"/>
      <c r="N20" s="107">
        <f>I20-TTKQ!I20</f>
        <v>-898879793</v>
      </c>
    </row>
    <row r="21" spans="1:18" ht="15.6">
      <c r="A21" s="1"/>
      <c r="B21" s="93"/>
      <c r="C21" s="102" t="s">
        <v>56</v>
      </c>
      <c r="D21" s="31"/>
      <c r="E21" s="35"/>
      <c r="F21" s="35"/>
      <c r="G21" s="35"/>
      <c r="H21" s="111">
        <f>TTKQ!H21</f>
        <v>6.9999999999999993E-3</v>
      </c>
      <c r="I21" s="83">
        <f>-H21*I13</f>
        <v>-65971133.199999996</v>
      </c>
      <c r="J21" s="1"/>
      <c r="K21" s="99" t="s">
        <v>59</v>
      </c>
      <c r="M21" s="107"/>
      <c r="N21" s="107">
        <f>I21-TTKQ!I21</f>
        <v>0</v>
      </c>
      <c r="R21" s="108"/>
    </row>
    <row r="22" spans="1:18" ht="15.6">
      <c r="A22" s="1"/>
      <c r="B22" s="96"/>
      <c r="C22" s="94" t="s">
        <v>45</v>
      </c>
      <c r="D22" s="92"/>
      <c r="E22" s="97"/>
      <c r="F22" s="97"/>
      <c r="G22" s="97"/>
      <c r="H22" s="112"/>
      <c r="I22" s="91">
        <f>SUM(I23:I27)</f>
        <v>-369678537</v>
      </c>
      <c r="J22" s="1"/>
      <c r="N22" s="107">
        <f>I22-TTKQ!I22</f>
        <v>0</v>
      </c>
    </row>
    <row r="23" spans="1:18" ht="15.6">
      <c r="A23" s="1"/>
      <c r="B23" s="96"/>
      <c r="C23" s="98" t="str">
        <f>TTKQ!C23</f>
        <v>Quà tặng “Signature Privilege”</v>
      </c>
      <c r="D23" s="92"/>
      <c r="E23" s="97"/>
      <c r="F23" s="97"/>
      <c r="G23" s="97"/>
      <c r="H23" s="111">
        <f>TTKQ!H23</f>
        <v>0.02</v>
      </c>
      <c r="I23" s="119">
        <f>-ROUND(H23*SUM(I$13,$I$21),0)</f>
        <v>-187169529</v>
      </c>
      <c r="J23" s="1"/>
      <c r="K23" s="99" t="s">
        <v>50</v>
      </c>
      <c r="N23" s="107">
        <f>I23-TTKQ!I23</f>
        <v>0</v>
      </c>
    </row>
    <row r="24" spans="1:18">
      <c r="A24" s="1"/>
      <c r="B24" s="96"/>
      <c r="C24" s="98" t="str">
        <f>TTKQ!C24</f>
        <v>Quà tặng “Frontage Privilege” - S3</v>
      </c>
      <c r="D24" s="92"/>
      <c r="E24" s="97"/>
      <c r="F24" s="97"/>
      <c r="G24" s="97"/>
      <c r="H24" s="111">
        <f>TTKQ!H24</f>
        <v>0.01</v>
      </c>
      <c r="I24" s="83">
        <f>-ROUND(H24*SUM(I$13,I$23:I23,$I$21),0)</f>
        <v>-91713069</v>
      </c>
      <c r="J24" s="1"/>
      <c r="K24" s="99" t="s">
        <v>50</v>
      </c>
      <c r="N24" s="107">
        <f>I24-TTKQ!I24</f>
        <v>0</v>
      </c>
    </row>
    <row r="25" spans="1:18" ht="15.6">
      <c r="A25" s="1"/>
      <c r="B25" s="96"/>
      <c r="C25" s="98" t="str">
        <f>TTKQ!C25</f>
        <v>Quà tặng “An Phúc Phú Quý”- E1, S1, S2</v>
      </c>
      <c r="D25" s="92"/>
      <c r="E25" s="97"/>
      <c r="F25" s="97"/>
      <c r="G25" s="97"/>
      <c r="H25" s="92"/>
      <c r="I25" s="157">
        <f>TTKQ!$I$25</f>
        <v>0</v>
      </c>
      <c r="J25" s="1"/>
      <c r="K25" s="99"/>
      <c r="N25" s="107"/>
    </row>
    <row r="26" spans="1:18" ht="15.6">
      <c r="A26" s="1"/>
      <c r="B26" s="96"/>
      <c r="C26" s="98" t="str">
        <f>TTKQ!C26</f>
        <v>Quà tặng “Elite Privilege”</v>
      </c>
      <c r="D26" s="92"/>
      <c r="E26" s="97"/>
      <c r="F26" s="97"/>
      <c r="G26" s="97"/>
      <c r="H26" s="111">
        <f>TTKQ!H26</f>
        <v>0.01</v>
      </c>
      <c r="I26" s="119">
        <f>-ROUND(H26*SUM(I$13,I$23:I25,$I$21),0)</f>
        <v>-90795939</v>
      </c>
      <c r="J26" s="1"/>
      <c r="K26" s="99" t="s">
        <v>43</v>
      </c>
      <c r="N26" s="107">
        <f>I26-TTKQ!I26</f>
        <v>0</v>
      </c>
    </row>
    <row r="27" spans="1:18" hidden="1" outlineLevel="1">
      <c r="A27" s="1"/>
      <c r="B27" s="33"/>
      <c r="C27" s="84" t="str">
        <f>TTKQ!C27</f>
        <v>Chiết khấu ưu đãi khác 3 (nếu có)</v>
      </c>
      <c r="D27" s="31"/>
      <c r="E27" s="34"/>
      <c r="F27" s="34"/>
      <c r="G27" s="34"/>
      <c r="H27" s="111">
        <f>TTKQ!H27</f>
        <v>0</v>
      </c>
      <c r="I27" s="83">
        <f>TTKQ!I27</f>
        <v>0</v>
      </c>
      <c r="J27" s="1"/>
      <c r="K27" s="79" t="s">
        <v>43</v>
      </c>
      <c r="N27" s="107">
        <f>I27-TTKQ!I27</f>
        <v>0</v>
      </c>
    </row>
    <row r="28" spans="1:18" ht="15.6" collapsed="1">
      <c r="A28" s="1"/>
      <c r="B28" s="96"/>
      <c r="C28" s="94" t="s">
        <v>82</v>
      </c>
      <c r="D28" s="92"/>
      <c r="E28" s="97"/>
      <c r="F28" s="97"/>
      <c r="G28" s="97"/>
      <c r="H28" s="111">
        <v>0.1</v>
      </c>
      <c r="I28" s="83">
        <f>-ROUND(H28*SUM(I$13,I$23:I27,$I$21),0)</f>
        <v>-898879793</v>
      </c>
      <c r="J28" s="1"/>
      <c r="K28" s="79" t="s">
        <v>60</v>
      </c>
    </row>
    <row r="29" spans="1:18" ht="15.6">
      <c r="A29" s="1"/>
      <c r="B29" s="14"/>
      <c r="C29" s="36" t="s">
        <v>24</v>
      </c>
      <c r="D29" s="16"/>
      <c r="E29" s="16"/>
      <c r="F29" s="16"/>
      <c r="G29" s="16"/>
      <c r="H29" s="17"/>
      <c r="I29" s="37">
        <f>I13+I20</f>
        <v>8089918136.8000002</v>
      </c>
      <c r="J29" s="1"/>
      <c r="K29" s="106">
        <f>I29/TTKQ!I28-1</f>
        <v>-0.10000000000222486</v>
      </c>
      <c r="M29" s="106">
        <f>I29/I13-1</f>
        <v>-0.14160293736473206</v>
      </c>
    </row>
    <row r="30" spans="1:18">
      <c r="A30" s="1"/>
      <c r="B30" s="18"/>
      <c r="C30" s="19" t="s">
        <v>12</v>
      </c>
      <c r="D30" s="19"/>
      <c r="E30" s="19"/>
      <c r="F30" s="19"/>
      <c r="G30" s="19"/>
      <c r="H30" s="20"/>
      <c r="I30" s="38">
        <f>ROUND(I14+(I20-I28)*10%,0)</f>
        <v>898879793</v>
      </c>
      <c r="J30" s="1"/>
      <c r="K30" s="106">
        <f>I30/TTKQ!I29-1</f>
        <v>0</v>
      </c>
      <c r="M30" s="106">
        <f>I30/I14-1</f>
        <v>-4.622548593723419E-2</v>
      </c>
    </row>
    <row r="31" spans="1:18" ht="15.6">
      <c r="A31" s="1"/>
      <c r="B31" s="18"/>
      <c r="C31" s="15" t="s">
        <v>25</v>
      </c>
      <c r="D31" s="19"/>
      <c r="E31" s="19"/>
      <c r="F31" s="19"/>
      <c r="G31" s="19"/>
      <c r="H31" s="20"/>
      <c r="I31" s="39">
        <f>I29+I30</f>
        <v>8988797929.7999992</v>
      </c>
      <c r="J31" s="1"/>
      <c r="K31" s="106">
        <f>I31/TTKQ!I30-1</f>
        <v>-9.0909090910929802E-2</v>
      </c>
      <c r="M31" s="106">
        <f>I31/I15-1</f>
        <v>-0.13293225996223235</v>
      </c>
    </row>
    <row r="32" spans="1:18">
      <c r="A32" s="1"/>
      <c r="B32" s="18"/>
      <c r="C32" s="19" t="s">
        <v>14</v>
      </c>
      <c r="D32" s="19"/>
      <c r="E32" s="19"/>
      <c r="F32" s="19"/>
      <c r="G32" s="19"/>
      <c r="H32" s="20"/>
      <c r="I32" s="38">
        <f>ROUND((I29-I28)*2%,0)</f>
        <v>179775959</v>
      </c>
      <c r="J32" s="1"/>
      <c r="K32" s="106">
        <f>I32/TTKQ!I31-1</f>
        <v>0</v>
      </c>
      <c r="M32" s="106">
        <f>I32/I16-1</f>
        <v>-4.6225483815093837E-2</v>
      </c>
    </row>
    <row r="33" spans="1:13" ht="15.6">
      <c r="A33" s="1"/>
      <c r="B33" s="18"/>
      <c r="C33" s="15" t="s">
        <v>26</v>
      </c>
      <c r="D33" s="19"/>
      <c r="E33" s="19"/>
      <c r="F33" s="19"/>
      <c r="G33" s="19"/>
      <c r="H33" s="40"/>
      <c r="I33" s="41">
        <f>I31+I32</f>
        <v>9168573888.7999992</v>
      </c>
      <c r="J33" s="1"/>
      <c r="K33" s="106">
        <f>I33/TTKQ!I32-1</f>
        <v>-8.9285714283940498E-2</v>
      </c>
      <c r="M33" s="106">
        <f>I33/I17-1</f>
        <v>-0.1313839246738906</v>
      </c>
    </row>
    <row r="34" spans="1:13" ht="15.6">
      <c r="A34" s="1"/>
      <c r="B34" s="42" t="s">
        <v>38</v>
      </c>
      <c r="C34" s="43" t="s">
        <v>33</v>
      </c>
      <c r="D34" s="43"/>
      <c r="E34" s="43"/>
      <c r="F34" s="43"/>
      <c r="G34" s="43"/>
      <c r="H34" s="43"/>
      <c r="I34" s="44"/>
      <c r="J34" s="1"/>
    </row>
    <row r="35" spans="1:13" ht="15.6">
      <c r="A35" s="1"/>
      <c r="B35" s="45" t="s">
        <v>27</v>
      </c>
      <c r="C35" s="45" t="s">
        <v>28</v>
      </c>
      <c r="D35" s="177"/>
      <c r="E35" s="177"/>
      <c r="F35" s="178"/>
      <c r="G35" s="178"/>
      <c r="H35" s="178" t="s">
        <v>31</v>
      </c>
      <c r="I35" s="179"/>
      <c r="J35" s="1"/>
    </row>
    <row r="36" spans="1:13" ht="15.6">
      <c r="A36" s="1"/>
      <c r="B36" s="58"/>
      <c r="C36" s="59" t="s">
        <v>34</v>
      </c>
      <c r="D36" s="60"/>
      <c r="E36" s="61"/>
      <c r="F36" s="60"/>
      <c r="G36" s="62"/>
      <c r="H36" s="63"/>
      <c r="I36" s="64">
        <f>IF(TTKQ!$I$19="Y",0,100000000)</f>
        <v>0</v>
      </c>
      <c r="J36" s="52"/>
    </row>
    <row r="37" spans="1:13" s="125" customFormat="1" ht="15.6">
      <c r="A37" s="1"/>
      <c r="B37" s="82">
        <v>1</v>
      </c>
      <c r="C37" s="65" t="s">
        <v>53</v>
      </c>
      <c r="D37" s="66"/>
      <c r="E37" s="67"/>
      <c r="F37" s="66"/>
      <c r="G37" s="68"/>
      <c r="H37" s="69">
        <v>0.2</v>
      </c>
      <c r="I37" s="70">
        <f>ROUND(H37*I$31,0)-I36</f>
        <v>1797759586</v>
      </c>
      <c r="J37" s="52"/>
      <c r="K37" s="125" t="s">
        <v>81</v>
      </c>
      <c r="M37" s="126">
        <f>IF(TTKQ!$I$19="Y",I37-TTKQ!$I$38,I37)</f>
        <v>314607928</v>
      </c>
    </row>
    <row r="38" spans="1:13" ht="15.6">
      <c r="A38" s="1"/>
      <c r="B38" s="46">
        <v>2</v>
      </c>
      <c r="C38" s="53" t="s">
        <v>35</v>
      </c>
      <c r="D38" s="47"/>
      <c r="E38" s="48"/>
      <c r="F38" s="47"/>
      <c r="G38" s="49"/>
      <c r="H38" s="50">
        <v>0.75</v>
      </c>
      <c r="I38" s="51">
        <f>ROUND(H38*I$31,0)</f>
        <v>6741598447</v>
      </c>
      <c r="J38" s="1"/>
    </row>
    <row r="39" spans="1:13" ht="15.6">
      <c r="A39" s="1"/>
      <c r="B39" s="46">
        <v>3</v>
      </c>
      <c r="C39" s="53" t="str">
        <f>'TT Chuẩn'!C46</f>
        <v>Bàn giao căn hộ (dự kiến tháng 9/2028)</v>
      </c>
      <c r="D39" s="47"/>
      <c r="E39" s="48"/>
      <c r="F39" s="47"/>
      <c r="G39" s="49"/>
      <c r="H39" s="50">
        <v>0.05</v>
      </c>
      <c r="I39" s="51">
        <f>IF(LEFT(C39,8)="Bàn giao",I$33-SUM(I$36,I$37,I$38:I38),ROUND(H39*I$31,0))</f>
        <v>629215855.79999924</v>
      </c>
      <c r="J39" s="1"/>
    </row>
    <row r="40" spans="1:13" ht="15.6">
      <c r="A40" s="1"/>
      <c r="B40" s="173" t="s">
        <v>32</v>
      </c>
      <c r="C40" s="174"/>
      <c r="D40" s="54"/>
      <c r="E40" s="55"/>
      <c r="F40" s="54"/>
      <c r="G40" s="55"/>
      <c r="H40" s="56">
        <f>SUM(H37:H39)</f>
        <v>1</v>
      </c>
      <c r="I40" s="57">
        <f>SUM(I38:I39,I37,I36)</f>
        <v>9168573888.7999992</v>
      </c>
      <c r="J40" s="1"/>
    </row>
    <row r="41" spans="1:13">
      <c r="A41" s="71"/>
      <c r="B41" s="72"/>
      <c r="C41" s="71"/>
      <c r="D41" s="71"/>
      <c r="E41" s="71"/>
      <c r="F41" s="71"/>
      <c r="G41" s="71"/>
      <c r="H41" s="71"/>
      <c r="I41" s="71"/>
      <c r="J41" s="71"/>
    </row>
    <row r="42" spans="1:13" ht="15.6">
      <c r="A42" s="71"/>
      <c r="B42" s="72"/>
      <c r="C42" s="73"/>
      <c r="D42" s="71"/>
      <c r="E42" s="74"/>
      <c r="F42" s="71"/>
      <c r="G42" s="71"/>
      <c r="H42" s="71"/>
      <c r="I42" s="71"/>
      <c r="J42" s="71"/>
    </row>
    <row r="43" spans="1:13" ht="15.6">
      <c r="A43" s="71"/>
      <c r="B43" s="72"/>
      <c r="C43" s="73"/>
      <c r="D43" s="71"/>
      <c r="E43" s="74"/>
      <c r="F43" s="71"/>
      <c r="G43" s="71"/>
      <c r="H43" s="71"/>
      <c r="I43" s="71"/>
      <c r="J43" s="71"/>
    </row>
    <row r="44" spans="1:13" ht="15.6">
      <c r="A44" s="71"/>
      <c r="B44" s="72"/>
      <c r="C44" s="73"/>
      <c r="D44" s="75"/>
      <c r="E44" s="75"/>
      <c r="F44" s="71"/>
      <c r="G44" s="71"/>
      <c r="H44" s="71"/>
      <c r="I44" s="71"/>
      <c r="J44" s="71"/>
    </row>
    <row r="45" spans="1:13" ht="15.6">
      <c r="A45" s="71"/>
      <c r="B45" s="72"/>
      <c r="C45" s="73"/>
      <c r="D45" s="75"/>
      <c r="E45" s="74"/>
      <c r="F45" s="71"/>
      <c r="G45" s="71"/>
      <c r="H45" s="71"/>
      <c r="I45" s="71"/>
      <c r="J45" s="71"/>
    </row>
    <row r="46" spans="1:13">
      <c r="A46" s="71"/>
      <c r="B46" s="72"/>
      <c r="C46" s="71"/>
      <c r="D46" s="71"/>
      <c r="E46" s="71"/>
      <c r="F46" s="71"/>
      <c r="G46" s="71"/>
      <c r="H46" s="71"/>
      <c r="I46" s="71"/>
      <c r="J46" s="71"/>
    </row>
    <row r="47" spans="1:13">
      <c r="A47" s="71"/>
      <c r="B47" s="72"/>
      <c r="C47" s="71"/>
      <c r="D47" s="71"/>
      <c r="E47" s="71"/>
      <c r="F47" s="71"/>
      <c r="G47" s="71"/>
      <c r="H47" s="71"/>
      <c r="I47" s="71"/>
      <c r="J47" s="71"/>
    </row>
    <row r="48" spans="1:13">
      <c r="A48" s="71"/>
      <c r="B48" s="72"/>
      <c r="C48" s="71"/>
      <c r="D48" s="71"/>
      <c r="E48" s="71"/>
      <c r="F48" s="71"/>
      <c r="G48" s="71"/>
      <c r="H48" s="71"/>
      <c r="I48" s="71"/>
      <c r="J48" s="71"/>
    </row>
    <row r="49" spans="1:10">
      <c r="A49" s="71"/>
      <c r="B49" s="72"/>
      <c r="C49" s="71"/>
      <c r="D49" s="71"/>
      <c r="E49" s="71"/>
      <c r="F49" s="71"/>
      <c r="G49" s="71"/>
      <c r="H49" s="71"/>
      <c r="I49" s="71"/>
      <c r="J49" s="71"/>
    </row>
    <row r="50" spans="1:10">
      <c r="A50" s="71"/>
      <c r="B50" s="72"/>
      <c r="C50" s="71"/>
      <c r="D50" s="71"/>
      <c r="E50" s="71"/>
      <c r="F50" s="71"/>
      <c r="G50" s="71"/>
      <c r="H50" s="71"/>
      <c r="I50" s="71"/>
      <c r="J50" s="71"/>
    </row>
    <row r="51" spans="1:10">
      <c r="A51" s="71"/>
      <c r="B51" s="72"/>
      <c r="C51" s="71"/>
      <c r="D51" s="71"/>
      <c r="E51" s="71"/>
      <c r="F51" s="71"/>
      <c r="G51" s="71"/>
      <c r="H51" s="71"/>
      <c r="I51" s="71"/>
      <c r="J51" s="71"/>
    </row>
    <row r="52" spans="1:10">
      <c r="A52" s="71"/>
      <c r="B52" s="72"/>
      <c r="C52" s="71"/>
      <c r="D52" s="71"/>
      <c r="E52" s="71"/>
      <c r="F52" s="71"/>
      <c r="G52" s="71"/>
      <c r="H52" s="71"/>
      <c r="I52" s="71"/>
      <c r="J52" s="71"/>
    </row>
    <row r="53" spans="1:10">
      <c r="A53" s="71"/>
      <c r="B53" s="72"/>
      <c r="C53" s="71"/>
      <c r="D53" s="71"/>
      <c r="E53" s="71"/>
      <c r="F53" s="71"/>
      <c r="G53" s="71"/>
      <c r="H53" s="71"/>
      <c r="I53" s="71"/>
      <c r="J53" s="71"/>
    </row>
    <row r="54" spans="1:10">
      <c r="A54" s="71"/>
      <c r="B54" s="72"/>
      <c r="C54" s="71"/>
      <c r="D54" s="71"/>
      <c r="E54" s="71"/>
      <c r="F54" s="71"/>
      <c r="G54" s="71"/>
      <c r="H54" s="71"/>
      <c r="I54" s="71"/>
      <c r="J54" s="71"/>
    </row>
    <row r="55" spans="1:10">
      <c r="A55" s="71"/>
      <c r="B55" s="72"/>
      <c r="C55" s="71"/>
      <c r="D55" s="71"/>
      <c r="E55" s="71"/>
      <c r="F55" s="71"/>
      <c r="G55" s="71"/>
      <c r="H55" s="71"/>
      <c r="I55" s="71"/>
      <c r="J55" s="71"/>
    </row>
    <row r="56" spans="1:10">
      <c r="A56" s="71"/>
      <c r="B56" s="72"/>
      <c r="C56" s="71"/>
      <c r="D56" s="71"/>
      <c r="E56" s="71"/>
      <c r="F56" s="71"/>
      <c r="G56" s="71"/>
      <c r="H56" s="71"/>
      <c r="I56" s="71"/>
      <c r="J56" s="71"/>
    </row>
    <row r="57" spans="1:10">
      <c r="A57" s="71"/>
      <c r="B57" s="72"/>
      <c r="C57" s="71"/>
      <c r="D57" s="71"/>
      <c r="E57" s="71"/>
      <c r="F57" s="71"/>
      <c r="G57" s="71"/>
      <c r="H57" s="71"/>
      <c r="I57" s="71"/>
      <c r="J57" s="71"/>
    </row>
    <row r="58" spans="1:10">
      <c r="A58" s="71"/>
      <c r="B58" s="72"/>
      <c r="C58" s="71"/>
      <c r="D58" s="71"/>
      <c r="E58" s="71"/>
      <c r="F58" s="71"/>
      <c r="G58" s="71"/>
      <c r="H58" s="71"/>
      <c r="I58" s="71"/>
      <c r="J58" s="71"/>
    </row>
    <row r="59" spans="1:10">
      <c r="A59" s="71"/>
      <c r="B59" s="72"/>
      <c r="C59" s="71"/>
      <c r="D59" s="71"/>
      <c r="E59" s="71"/>
      <c r="F59" s="71"/>
      <c r="G59" s="71"/>
      <c r="H59" s="71"/>
      <c r="I59" s="71"/>
      <c r="J59" s="71"/>
    </row>
    <row r="60" spans="1:10">
      <c r="A60" s="71"/>
      <c r="B60" s="72"/>
      <c r="C60" s="71"/>
      <c r="D60" s="71"/>
      <c r="E60" s="71"/>
      <c r="F60" s="71"/>
      <c r="G60" s="71"/>
      <c r="H60" s="71"/>
      <c r="I60" s="71"/>
      <c r="J60" s="71"/>
    </row>
    <row r="61" spans="1:10">
      <c r="A61" s="71"/>
      <c r="B61" s="72"/>
      <c r="C61" s="71"/>
      <c r="D61" s="71"/>
      <c r="E61" s="71"/>
      <c r="F61" s="71"/>
      <c r="G61" s="71"/>
      <c r="H61" s="71"/>
      <c r="I61" s="71"/>
      <c r="J61" s="71"/>
    </row>
    <row r="62" spans="1:10">
      <c r="A62" s="71"/>
      <c r="B62" s="72"/>
      <c r="C62" s="71"/>
      <c r="D62" s="71"/>
      <c r="E62" s="71"/>
      <c r="F62" s="71"/>
      <c r="G62" s="71"/>
      <c r="H62" s="71"/>
      <c r="I62" s="71"/>
      <c r="J62" s="71"/>
    </row>
    <row r="63" spans="1:10">
      <c r="A63" s="71"/>
      <c r="B63" s="72"/>
      <c r="C63" s="71"/>
      <c r="D63" s="71"/>
      <c r="E63" s="71"/>
      <c r="F63" s="71"/>
      <c r="G63" s="71"/>
      <c r="H63" s="71"/>
      <c r="I63" s="71"/>
      <c r="J63" s="71"/>
    </row>
    <row r="64" spans="1:10">
      <c r="A64" s="71"/>
      <c r="B64" s="72"/>
      <c r="C64" s="71"/>
      <c r="D64" s="71"/>
      <c r="E64" s="71"/>
      <c r="F64" s="71"/>
      <c r="G64" s="71"/>
      <c r="H64" s="71"/>
      <c r="I64" s="71"/>
      <c r="J64" s="71"/>
    </row>
    <row r="65" spans="1:10">
      <c r="A65" s="71"/>
      <c r="B65" s="72"/>
      <c r="C65" s="71"/>
      <c r="D65" s="71"/>
      <c r="E65" s="71"/>
      <c r="F65" s="71"/>
      <c r="G65" s="71"/>
      <c r="H65" s="71"/>
      <c r="I65" s="71"/>
      <c r="J65" s="71"/>
    </row>
    <row r="66" spans="1:10">
      <c r="A66" s="71"/>
      <c r="B66" s="72"/>
      <c r="C66" s="71"/>
      <c r="D66" s="71"/>
      <c r="E66" s="71"/>
      <c r="F66" s="71"/>
      <c r="G66" s="71"/>
      <c r="H66" s="71"/>
      <c r="I66" s="71"/>
      <c r="J66" s="71"/>
    </row>
    <row r="67" spans="1:10">
      <c r="A67" s="71"/>
      <c r="B67" s="72"/>
      <c r="C67" s="71"/>
      <c r="D67" s="71"/>
      <c r="E67" s="71"/>
      <c r="F67" s="71"/>
      <c r="G67" s="71"/>
      <c r="H67" s="71"/>
      <c r="I67" s="71"/>
      <c r="J67" s="71"/>
    </row>
    <row r="68" spans="1:10">
      <c r="A68" s="71"/>
      <c r="B68" s="72"/>
      <c r="C68" s="71"/>
      <c r="D68" s="71"/>
      <c r="E68" s="71"/>
      <c r="F68" s="71"/>
      <c r="G68" s="71"/>
      <c r="H68" s="71"/>
      <c r="I68" s="71"/>
      <c r="J68" s="71"/>
    </row>
    <row r="69" spans="1:10">
      <c r="A69" s="71"/>
      <c r="B69" s="72"/>
      <c r="C69" s="71"/>
      <c r="D69" s="71"/>
      <c r="E69" s="71"/>
      <c r="F69" s="71"/>
      <c r="G69" s="71"/>
      <c r="H69" s="71"/>
      <c r="I69" s="71"/>
      <c r="J69" s="71"/>
    </row>
    <row r="70" spans="1:10">
      <c r="A70" s="71"/>
      <c r="B70" s="72"/>
      <c r="C70" s="71"/>
      <c r="D70" s="71"/>
      <c r="E70" s="71"/>
      <c r="F70" s="71"/>
      <c r="G70" s="71"/>
      <c r="H70" s="71"/>
      <c r="I70" s="71"/>
      <c r="J70" s="71"/>
    </row>
    <row r="71" spans="1:10">
      <c r="A71" s="71"/>
      <c r="B71" s="72"/>
      <c r="C71" s="71"/>
      <c r="D71" s="71"/>
      <c r="E71" s="71"/>
      <c r="F71" s="71"/>
      <c r="G71" s="71"/>
      <c r="H71" s="71"/>
      <c r="I71" s="71"/>
      <c r="J71" s="71"/>
    </row>
    <row r="72" spans="1:10">
      <c r="A72" s="71"/>
      <c r="B72" s="72"/>
      <c r="C72" s="71"/>
      <c r="D72" s="71"/>
      <c r="E72" s="71"/>
      <c r="F72" s="71"/>
      <c r="G72" s="71"/>
      <c r="H72" s="71"/>
      <c r="I72" s="71"/>
      <c r="J72" s="71"/>
    </row>
    <row r="73" spans="1:10">
      <c r="A73" s="71"/>
      <c r="B73" s="72"/>
      <c r="C73" s="71"/>
      <c r="D73" s="71"/>
      <c r="E73" s="71"/>
      <c r="F73" s="71"/>
      <c r="G73" s="71"/>
      <c r="H73" s="71"/>
      <c r="I73" s="71"/>
      <c r="J73" s="71"/>
    </row>
    <row r="74" spans="1:10">
      <c r="A74" s="71"/>
      <c r="B74" s="72"/>
      <c r="C74" s="71"/>
      <c r="D74" s="71"/>
      <c r="E74" s="71"/>
      <c r="F74" s="71"/>
      <c r="G74" s="71"/>
      <c r="H74" s="71"/>
      <c r="I74" s="71"/>
      <c r="J74" s="71"/>
    </row>
    <row r="75" spans="1:10">
      <c r="A75" s="71"/>
      <c r="B75" s="72"/>
      <c r="C75" s="71"/>
      <c r="D75" s="71"/>
      <c r="E75" s="71"/>
      <c r="F75" s="71"/>
      <c r="G75" s="71"/>
      <c r="H75" s="71"/>
      <c r="I75" s="71"/>
      <c r="J75" s="71"/>
    </row>
    <row r="76" spans="1:10">
      <c r="A76" s="71"/>
      <c r="B76" s="72"/>
      <c r="C76" s="71"/>
      <c r="D76" s="71"/>
      <c r="E76" s="71"/>
      <c r="F76" s="71"/>
      <c r="G76" s="71"/>
      <c r="H76" s="71"/>
      <c r="I76" s="71"/>
      <c r="J76" s="71"/>
    </row>
    <row r="77" spans="1:10">
      <c r="A77" s="71"/>
      <c r="B77" s="72"/>
      <c r="C77" s="71"/>
      <c r="D77" s="71"/>
      <c r="E77" s="71"/>
      <c r="F77" s="71"/>
      <c r="G77" s="71"/>
      <c r="H77" s="71"/>
      <c r="I77" s="71"/>
      <c r="J77" s="71"/>
    </row>
    <row r="78" spans="1:10">
      <c r="A78" s="71"/>
      <c r="B78" s="72"/>
      <c r="C78" s="71"/>
      <c r="D78" s="71"/>
      <c r="E78" s="71"/>
      <c r="F78" s="71"/>
      <c r="G78" s="71"/>
      <c r="H78" s="71"/>
      <c r="I78" s="71"/>
      <c r="J78" s="71"/>
    </row>
    <row r="79" spans="1:10">
      <c r="A79" s="71"/>
      <c r="B79" s="72"/>
      <c r="C79" s="71"/>
      <c r="D79" s="71"/>
      <c r="E79" s="71"/>
      <c r="F79" s="71"/>
      <c r="G79" s="71"/>
      <c r="H79" s="71"/>
      <c r="I79" s="71"/>
      <c r="J79" s="71"/>
    </row>
    <row r="80" spans="1:10">
      <c r="A80" s="71"/>
      <c r="B80" s="72"/>
      <c r="C80" s="71"/>
      <c r="D80" s="71"/>
      <c r="E80" s="71"/>
      <c r="F80" s="71"/>
      <c r="G80" s="71"/>
      <c r="H80" s="71"/>
      <c r="I80" s="71"/>
      <c r="J80" s="71"/>
    </row>
    <row r="81" spans="1:10">
      <c r="A81" s="71"/>
      <c r="B81" s="72"/>
      <c r="C81" s="71"/>
      <c r="D81" s="71"/>
      <c r="E81" s="71"/>
      <c r="F81" s="71"/>
      <c r="G81" s="71"/>
      <c r="H81" s="71"/>
      <c r="I81" s="71"/>
      <c r="J81" s="71"/>
    </row>
    <row r="82" spans="1:10">
      <c r="A82" s="71"/>
      <c r="B82" s="72"/>
      <c r="C82" s="71"/>
      <c r="D82" s="71"/>
      <c r="E82" s="71"/>
      <c r="F82" s="71"/>
      <c r="G82" s="71"/>
      <c r="H82" s="71"/>
      <c r="I82" s="71"/>
      <c r="J82" s="71"/>
    </row>
    <row r="83" spans="1:10">
      <c r="A83" s="71"/>
      <c r="B83" s="72"/>
      <c r="C83" s="71"/>
      <c r="D83" s="71"/>
      <c r="E83" s="71"/>
      <c r="F83" s="71"/>
      <c r="G83" s="71"/>
      <c r="H83" s="71"/>
      <c r="I83" s="71"/>
      <c r="J83" s="71"/>
    </row>
    <row r="84" spans="1:10">
      <c r="A84" s="71"/>
      <c r="B84" s="72"/>
      <c r="C84" s="71"/>
      <c r="D84" s="71"/>
      <c r="E84" s="71"/>
      <c r="F84" s="71"/>
      <c r="G84" s="71"/>
      <c r="H84" s="71"/>
      <c r="I84" s="71"/>
      <c r="J84" s="71"/>
    </row>
    <row r="85" spans="1:10">
      <c r="A85" s="71"/>
      <c r="B85" s="72"/>
      <c r="C85" s="71"/>
      <c r="D85" s="71"/>
      <c r="E85" s="71"/>
      <c r="F85" s="71"/>
      <c r="G85" s="71"/>
      <c r="H85" s="71"/>
      <c r="I85" s="71"/>
      <c r="J85" s="71"/>
    </row>
    <row r="86" spans="1:10">
      <c r="A86" s="71"/>
      <c r="B86" s="72"/>
      <c r="C86" s="71"/>
      <c r="D86" s="71"/>
      <c r="E86" s="71"/>
      <c r="F86" s="71"/>
      <c r="G86" s="71"/>
      <c r="H86" s="71"/>
      <c r="I86" s="71"/>
      <c r="J86" s="71"/>
    </row>
    <row r="87" spans="1:10">
      <c r="A87" s="71"/>
      <c r="B87" s="72"/>
      <c r="C87" s="71"/>
      <c r="D87" s="71"/>
      <c r="E87" s="71"/>
      <c r="F87" s="71"/>
      <c r="G87" s="71"/>
      <c r="H87" s="71"/>
      <c r="I87" s="71"/>
      <c r="J87" s="71"/>
    </row>
    <row r="88" spans="1:10">
      <c r="A88" s="71"/>
      <c r="B88" s="72"/>
      <c r="C88" s="71"/>
      <c r="D88" s="71"/>
      <c r="E88" s="71"/>
      <c r="F88" s="71"/>
      <c r="G88" s="71"/>
      <c r="H88" s="71"/>
      <c r="I88" s="71"/>
      <c r="J88" s="71"/>
    </row>
    <row r="89" spans="1:10">
      <c r="A89" s="71"/>
      <c r="B89" s="72"/>
      <c r="C89" s="71"/>
      <c r="D89" s="71"/>
      <c r="E89" s="71"/>
      <c r="F89" s="71"/>
      <c r="G89" s="71"/>
      <c r="H89" s="71"/>
      <c r="I89" s="71"/>
      <c r="J89" s="71"/>
    </row>
    <row r="90" spans="1:10">
      <c r="A90" s="71"/>
      <c r="B90" s="72"/>
      <c r="C90" s="71"/>
      <c r="D90" s="71"/>
      <c r="E90" s="71"/>
      <c r="F90" s="71"/>
      <c r="G90" s="71"/>
      <c r="H90" s="71"/>
      <c r="I90" s="71"/>
      <c r="J90" s="71"/>
    </row>
    <row r="91" spans="1:10">
      <c r="A91" s="71"/>
      <c r="B91" s="72"/>
      <c r="C91" s="71"/>
      <c r="D91" s="71"/>
      <c r="E91" s="71"/>
      <c r="F91" s="71"/>
      <c r="G91" s="71"/>
      <c r="H91" s="71"/>
      <c r="I91" s="71"/>
      <c r="J91" s="71"/>
    </row>
    <row r="92" spans="1:10">
      <c r="A92" s="71"/>
      <c r="B92" s="72"/>
      <c r="C92" s="71"/>
      <c r="D92" s="71"/>
      <c r="E92" s="71"/>
      <c r="F92" s="71"/>
      <c r="G92" s="71"/>
      <c r="H92" s="71"/>
      <c r="I92" s="71"/>
      <c r="J92" s="71"/>
    </row>
    <row r="93" spans="1:10">
      <c r="A93" s="71"/>
      <c r="B93" s="72"/>
      <c r="C93" s="71"/>
      <c r="D93" s="71"/>
      <c r="E93" s="71"/>
      <c r="F93" s="71"/>
      <c r="G93" s="71"/>
      <c r="H93" s="71"/>
      <c r="I93" s="71"/>
      <c r="J93" s="71"/>
    </row>
    <row r="94" spans="1:10">
      <c r="A94" s="71"/>
      <c r="B94" s="72"/>
      <c r="C94" s="71"/>
      <c r="D94" s="71"/>
      <c r="E94" s="71"/>
      <c r="F94" s="71"/>
      <c r="G94" s="71"/>
      <c r="H94" s="71"/>
      <c r="I94" s="71"/>
      <c r="J94" s="71"/>
    </row>
    <row r="95" spans="1:10">
      <c r="A95" s="71"/>
      <c r="B95" s="72"/>
      <c r="C95" s="71"/>
      <c r="D95" s="71"/>
      <c r="E95" s="71"/>
      <c r="F95" s="71"/>
      <c r="G95" s="71"/>
      <c r="H95" s="71"/>
      <c r="I95" s="71"/>
      <c r="J95" s="71"/>
    </row>
    <row r="96" spans="1:10">
      <c r="A96" s="71"/>
      <c r="B96" s="72"/>
      <c r="C96" s="71"/>
      <c r="D96" s="71"/>
      <c r="E96" s="71"/>
      <c r="F96" s="71"/>
      <c r="G96" s="71"/>
      <c r="H96" s="71"/>
      <c r="I96" s="71"/>
      <c r="J96" s="71"/>
    </row>
    <row r="97" spans="1:10">
      <c r="A97" s="71"/>
      <c r="B97" s="72"/>
      <c r="C97" s="71"/>
      <c r="D97" s="71"/>
      <c r="E97" s="71"/>
      <c r="F97" s="71"/>
      <c r="G97" s="71"/>
      <c r="H97" s="71"/>
      <c r="I97" s="71"/>
      <c r="J97" s="71"/>
    </row>
    <row r="98" spans="1:10">
      <c r="A98" s="71"/>
      <c r="B98" s="72"/>
      <c r="C98" s="71"/>
      <c r="D98" s="71"/>
      <c r="E98" s="71"/>
      <c r="F98" s="71"/>
      <c r="G98" s="71"/>
      <c r="H98" s="71"/>
      <c r="I98" s="71"/>
      <c r="J98" s="71"/>
    </row>
    <row r="99" spans="1:10">
      <c r="A99" s="71"/>
      <c r="B99" s="72"/>
      <c r="C99" s="71"/>
      <c r="D99" s="71"/>
      <c r="E99" s="71"/>
      <c r="F99" s="71"/>
      <c r="G99" s="71"/>
      <c r="H99" s="71"/>
      <c r="I99" s="71"/>
      <c r="J99" s="71"/>
    </row>
    <row r="100" spans="1:10">
      <c r="A100" s="71"/>
      <c r="B100" s="72"/>
      <c r="C100" s="71"/>
      <c r="D100" s="71"/>
      <c r="E100" s="71"/>
      <c r="F100" s="71"/>
      <c r="G100" s="71"/>
      <c r="H100" s="71"/>
      <c r="I100" s="71"/>
      <c r="J100" s="71"/>
    </row>
    <row r="101" spans="1:10">
      <c r="A101" s="71"/>
      <c r="B101" s="72"/>
      <c r="C101" s="71"/>
      <c r="D101" s="71"/>
      <c r="E101" s="71"/>
      <c r="F101" s="71"/>
      <c r="G101" s="71"/>
      <c r="H101" s="71"/>
      <c r="I101" s="71"/>
      <c r="J101" s="71"/>
    </row>
    <row r="102" spans="1:10">
      <c r="A102" s="71"/>
      <c r="B102" s="72"/>
      <c r="C102" s="71"/>
      <c r="D102" s="71"/>
      <c r="E102" s="71"/>
      <c r="F102" s="71"/>
      <c r="G102" s="71"/>
      <c r="H102" s="71"/>
      <c r="I102" s="71"/>
      <c r="J102" s="71"/>
    </row>
    <row r="103" spans="1:10">
      <c r="A103" s="71"/>
      <c r="B103" s="72"/>
      <c r="C103" s="71"/>
      <c r="D103" s="71"/>
      <c r="E103" s="71"/>
      <c r="F103" s="71"/>
      <c r="G103" s="71"/>
      <c r="H103" s="71"/>
      <c r="I103" s="71"/>
      <c r="J103" s="71"/>
    </row>
    <row r="104" spans="1:10">
      <c r="A104" s="71"/>
      <c r="B104" s="72"/>
      <c r="C104" s="71"/>
      <c r="D104" s="71"/>
      <c r="E104" s="71"/>
      <c r="F104" s="71"/>
      <c r="G104" s="71"/>
      <c r="H104" s="71"/>
      <c r="I104" s="71"/>
      <c r="J104" s="71"/>
    </row>
    <row r="105" spans="1:10">
      <c r="A105" s="71"/>
      <c r="B105" s="72"/>
      <c r="C105" s="71"/>
      <c r="D105" s="71"/>
      <c r="E105" s="71"/>
      <c r="F105" s="71"/>
      <c r="G105" s="71"/>
      <c r="H105" s="71"/>
      <c r="I105" s="71"/>
      <c r="J105" s="71"/>
    </row>
    <row r="106" spans="1:10">
      <c r="A106" s="71"/>
      <c r="B106" s="72"/>
      <c r="C106" s="71"/>
      <c r="D106" s="71"/>
      <c r="E106" s="71"/>
      <c r="F106" s="71"/>
      <c r="G106" s="71"/>
      <c r="H106" s="71"/>
      <c r="I106" s="71"/>
      <c r="J106" s="71"/>
    </row>
    <row r="107" spans="1:10">
      <c r="A107" s="71"/>
      <c r="B107" s="72"/>
      <c r="C107" s="71"/>
      <c r="D107" s="71"/>
      <c r="E107" s="71"/>
      <c r="F107" s="71"/>
      <c r="G107" s="71"/>
      <c r="H107" s="71"/>
      <c r="I107" s="71"/>
      <c r="J107" s="71"/>
    </row>
    <row r="108" spans="1:10">
      <c r="A108" s="71"/>
      <c r="B108" s="72"/>
      <c r="C108" s="71"/>
      <c r="D108" s="71"/>
      <c r="E108" s="71"/>
      <c r="F108" s="71"/>
      <c r="G108" s="71"/>
      <c r="H108" s="71"/>
      <c r="I108" s="71"/>
      <c r="J108" s="71"/>
    </row>
    <row r="109" spans="1:10">
      <c r="A109" s="71"/>
      <c r="B109" s="72"/>
      <c r="C109" s="71"/>
      <c r="D109" s="71"/>
      <c r="E109" s="71"/>
      <c r="F109" s="71"/>
      <c r="G109" s="71"/>
      <c r="H109" s="71"/>
      <c r="I109" s="71"/>
      <c r="J109" s="71"/>
    </row>
    <row r="110" spans="1:10">
      <c r="A110" s="71"/>
      <c r="B110" s="72"/>
      <c r="C110" s="71"/>
      <c r="D110" s="71"/>
      <c r="E110" s="71"/>
      <c r="F110" s="71"/>
      <c r="G110" s="71"/>
      <c r="H110" s="71"/>
      <c r="I110" s="71"/>
      <c r="J110" s="71"/>
    </row>
    <row r="111" spans="1:10">
      <c r="A111" s="71"/>
      <c r="B111" s="72"/>
      <c r="C111" s="71"/>
      <c r="D111" s="71"/>
      <c r="E111" s="71"/>
      <c r="F111" s="71"/>
      <c r="G111" s="71"/>
      <c r="H111" s="71"/>
      <c r="I111" s="71"/>
      <c r="J111" s="71"/>
    </row>
    <row r="112" spans="1:10">
      <c r="A112" s="71"/>
      <c r="B112" s="72"/>
      <c r="C112" s="71"/>
      <c r="D112" s="71"/>
      <c r="E112" s="71"/>
      <c r="F112" s="71"/>
      <c r="G112" s="71"/>
      <c r="H112" s="71"/>
      <c r="I112" s="71"/>
      <c r="J112" s="71"/>
    </row>
    <row r="113" spans="1:10">
      <c r="A113" s="71"/>
      <c r="B113" s="72"/>
      <c r="C113" s="71"/>
      <c r="D113" s="71"/>
      <c r="E113" s="71"/>
      <c r="F113" s="71"/>
      <c r="G113" s="71"/>
      <c r="H113" s="71"/>
      <c r="I113" s="71"/>
      <c r="J113" s="71"/>
    </row>
    <row r="114" spans="1:10">
      <c r="A114" s="71"/>
      <c r="B114" s="72"/>
      <c r="C114" s="71"/>
      <c r="D114" s="71"/>
      <c r="E114" s="71"/>
      <c r="F114" s="71"/>
      <c r="G114" s="71"/>
      <c r="H114" s="71"/>
      <c r="I114" s="71"/>
      <c r="J114" s="71"/>
    </row>
    <row r="115" spans="1:10">
      <c r="A115" s="71"/>
      <c r="B115" s="72"/>
      <c r="C115" s="71"/>
      <c r="D115" s="71"/>
      <c r="E115" s="71"/>
      <c r="F115" s="71"/>
      <c r="G115" s="71"/>
      <c r="H115" s="71"/>
      <c r="I115" s="71"/>
      <c r="J115" s="71"/>
    </row>
    <row r="116" spans="1:10">
      <c r="A116" s="71"/>
      <c r="B116" s="72"/>
      <c r="C116" s="71"/>
      <c r="D116" s="71"/>
      <c r="E116" s="71"/>
      <c r="F116" s="71"/>
      <c r="G116" s="71"/>
      <c r="H116" s="71"/>
      <c r="I116" s="71"/>
      <c r="J116" s="71"/>
    </row>
    <row r="117" spans="1:10">
      <c r="A117" s="71"/>
      <c r="B117" s="72"/>
      <c r="C117" s="71"/>
      <c r="D117" s="71"/>
      <c r="E117" s="71"/>
      <c r="F117" s="71"/>
      <c r="G117" s="71"/>
      <c r="H117" s="71"/>
      <c r="I117" s="71"/>
      <c r="J117" s="71"/>
    </row>
    <row r="118" spans="1:10">
      <c r="A118" s="71"/>
      <c r="B118" s="72"/>
      <c r="C118" s="71"/>
      <c r="D118" s="71"/>
      <c r="E118" s="71"/>
      <c r="F118" s="71"/>
      <c r="G118" s="71"/>
      <c r="H118" s="71"/>
      <c r="I118" s="71"/>
      <c r="J118" s="71"/>
    </row>
    <row r="119" spans="1:10">
      <c r="A119" s="71"/>
      <c r="B119" s="72"/>
      <c r="C119" s="71"/>
      <c r="D119" s="71"/>
      <c r="E119" s="71"/>
      <c r="F119" s="71"/>
      <c r="G119" s="71"/>
      <c r="H119" s="71"/>
      <c r="I119" s="71"/>
      <c r="J119" s="71"/>
    </row>
    <row r="120" spans="1:10">
      <c r="A120" s="71"/>
      <c r="B120" s="72"/>
      <c r="C120" s="71"/>
      <c r="D120" s="71"/>
      <c r="E120" s="71"/>
      <c r="F120" s="71"/>
      <c r="G120" s="71"/>
      <c r="H120" s="71"/>
      <c r="I120" s="71"/>
      <c r="J120" s="71"/>
    </row>
    <row r="121" spans="1:10">
      <c r="A121" s="71"/>
      <c r="B121" s="72"/>
      <c r="C121" s="71"/>
      <c r="D121" s="71"/>
      <c r="E121" s="71"/>
      <c r="F121" s="71"/>
      <c r="G121" s="71"/>
      <c r="H121" s="71"/>
      <c r="I121" s="71"/>
      <c r="J121" s="71"/>
    </row>
    <row r="122" spans="1:10">
      <c r="A122" s="71"/>
      <c r="B122" s="72"/>
      <c r="C122" s="71"/>
      <c r="D122" s="71"/>
      <c r="E122" s="71"/>
      <c r="F122" s="71"/>
      <c r="G122" s="71"/>
      <c r="H122" s="71"/>
      <c r="I122" s="71"/>
      <c r="J122" s="71"/>
    </row>
    <row r="123" spans="1:10">
      <c r="A123" s="71"/>
      <c r="B123" s="72"/>
      <c r="C123" s="71"/>
      <c r="D123" s="71"/>
      <c r="E123" s="71"/>
      <c r="F123" s="71"/>
      <c r="G123" s="71"/>
      <c r="H123" s="71"/>
      <c r="I123" s="71"/>
      <c r="J123" s="71"/>
    </row>
    <row r="124" spans="1:10">
      <c r="A124" s="71"/>
      <c r="B124" s="72"/>
      <c r="C124" s="71"/>
      <c r="D124" s="71"/>
      <c r="E124" s="71"/>
      <c r="F124" s="71"/>
      <c r="G124" s="71"/>
      <c r="H124" s="71"/>
      <c r="I124" s="71"/>
      <c r="J124" s="71"/>
    </row>
    <row r="125" spans="1:10">
      <c r="A125" s="71"/>
      <c r="B125" s="72"/>
      <c r="C125" s="71"/>
      <c r="D125" s="71"/>
      <c r="E125" s="71"/>
      <c r="F125" s="71"/>
      <c r="G125" s="71"/>
      <c r="H125" s="71"/>
      <c r="I125" s="71"/>
      <c r="J125" s="71"/>
    </row>
    <row r="126" spans="1:10">
      <c r="A126" s="71"/>
      <c r="B126" s="72"/>
      <c r="C126" s="71"/>
      <c r="D126" s="71"/>
      <c r="E126" s="71"/>
      <c r="F126" s="71"/>
      <c r="G126" s="71"/>
      <c r="H126" s="71"/>
      <c r="I126" s="71"/>
      <c r="J126" s="71"/>
    </row>
    <row r="127" spans="1:10">
      <c r="A127" s="71"/>
      <c r="B127" s="72"/>
      <c r="C127" s="71"/>
      <c r="D127" s="71"/>
      <c r="E127" s="71"/>
      <c r="F127" s="71"/>
      <c r="G127" s="71"/>
      <c r="H127" s="71"/>
      <c r="I127" s="71"/>
      <c r="J127" s="71"/>
    </row>
    <row r="128" spans="1:10">
      <c r="A128" s="71"/>
      <c r="B128" s="72"/>
      <c r="C128" s="71"/>
      <c r="D128" s="71"/>
      <c r="E128" s="71"/>
      <c r="F128" s="71"/>
      <c r="G128" s="71"/>
      <c r="H128" s="71"/>
      <c r="I128" s="71"/>
      <c r="J128" s="71"/>
    </row>
    <row r="129" spans="1:10">
      <c r="A129" s="71"/>
      <c r="B129" s="72"/>
      <c r="C129" s="71"/>
      <c r="D129" s="71"/>
      <c r="E129" s="71"/>
      <c r="F129" s="71"/>
      <c r="G129" s="71"/>
      <c r="H129" s="71"/>
      <c r="I129" s="71"/>
      <c r="J129" s="71"/>
    </row>
    <row r="130" spans="1:10">
      <c r="A130" s="71"/>
      <c r="B130" s="72"/>
      <c r="C130" s="71"/>
      <c r="D130" s="71"/>
      <c r="E130" s="71"/>
      <c r="F130" s="71"/>
      <c r="G130" s="71"/>
      <c r="H130" s="71"/>
      <c r="I130" s="71"/>
      <c r="J130" s="71"/>
    </row>
    <row r="131" spans="1:10">
      <c r="A131" s="71"/>
      <c r="B131" s="72"/>
      <c r="C131" s="71"/>
      <c r="D131" s="71"/>
      <c r="E131" s="71"/>
      <c r="F131" s="71"/>
      <c r="G131" s="71"/>
      <c r="H131" s="71"/>
      <c r="I131" s="71"/>
      <c r="J131" s="71"/>
    </row>
    <row r="132" spans="1:10">
      <c r="A132" s="71"/>
      <c r="B132" s="72"/>
      <c r="C132" s="71"/>
      <c r="D132" s="71"/>
      <c r="E132" s="71"/>
      <c r="F132" s="71"/>
      <c r="G132" s="71"/>
      <c r="H132" s="71"/>
      <c r="I132" s="71"/>
      <c r="J132" s="71"/>
    </row>
    <row r="133" spans="1:10">
      <c r="A133" s="71"/>
      <c r="B133" s="72"/>
      <c r="C133" s="71"/>
      <c r="D133" s="71"/>
      <c r="E133" s="71"/>
      <c r="F133" s="71"/>
      <c r="G133" s="71"/>
      <c r="H133" s="71"/>
      <c r="I133" s="71"/>
      <c r="J133" s="71"/>
    </row>
    <row r="134" spans="1:10">
      <c r="A134" s="71"/>
      <c r="B134" s="72"/>
      <c r="C134" s="71"/>
      <c r="D134" s="71"/>
      <c r="E134" s="71"/>
      <c r="F134" s="71"/>
      <c r="G134" s="71"/>
      <c r="H134" s="71"/>
      <c r="I134" s="71"/>
      <c r="J134" s="71"/>
    </row>
    <row r="135" spans="1:10">
      <c r="A135" s="71"/>
      <c r="B135" s="72"/>
      <c r="C135" s="71"/>
      <c r="D135" s="71"/>
      <c r="E135" s="71"/>
      <c r="F135" s="71"/>
      <c r="G135" s="71"/>
      <c r="H135" s="71"/>
      <c r="I135" s="71"/>
      <c r="J135" s="71"/>
    </row>
    <row r="136" spans="1:10">
      <c r="A136" s="71"/>
      <c r="B136" s="72"/>
      <c r="C136" s="71"/>
      <c r="D136" s="71"/>
      <c r="E136" s="71"/>
      <c r="F136" s="71"/>
      <c r="G136" s="71"/>
      <c r="H136" s="71"/>
      <c r="I136" s="71"/>
      <c r="J136" s="71"/>
    </row>
    <row r="137" spans="1:10">
      <c r="A137" s="71"/>
      <c r="B137" s="72"/>
      <c r="C137" s="71"/>
      <c r="D137" s="71"/>
      <c r="E137" s="71"/>
      <c r="F137" s="71"/>
      <c r="G137" s="71"/>
      <c r="H137" s="71"/>
      <c r="I137" s="71"/>
      <c r="J137" s="71"/>
    </row>
    <row r="138" spans="1:10">
      <c r="A138" s="71"/>
      <c r="B138" s="72"/>
      <c r="C138" s="71"/>
      <c r="D138" s="71"/>
      <c r="E138" s="71"/>
      <c r="F138" s="71"/>
      <c r="G138" s="71"/>
      <c r="H138" s="71"/>
      <c r="I138" s="71"/>
      <c r="J138" s="71"/>
    </row>
    <row r="139" spans="1:10">
      <c r="A139" s="71"/>
      <c r="B139" s="72"/>
      <c r="C139" s="71"/>
      <c r="D139" s="71"/>
      <c r="E139" s="71"/>
      <c r="F139" s="71"/>
      <c r="G139" s="71"/>
      <c r="H139" s="71"/>
      <c r="I139" s="71"/>
      <c r="J139" s="71"/>
    </row>
    <row r="140" spans="1:10">
      <c r="A140" s="71"/>
      <c r="B140" s="72"/>
      <c r="C140" s="71"/>
      <c r="D140" s="71"/>
      <c r="E140" s="71"/>
      <c r="F140" s="71"/>
      <c r="G140" s="71"/>
      <c r="H140" s="71"/>
      <c r="I140" s="71"/>
      <c r="J140" s="71"/>
    </row>
    <row r="141" spans="1:10">
      <c r="A141" s="71"/>
      <c r="B141" s="72"/>
      <c r="C141" s="71"/>
      <c r="D141" s="71"/>
      <c r="E141" s="71"/>
      <c r="F141" s="71"/>
      <c r="G141" s="71"/>
      <c r="H141" s="71"/>
      <c r="I141" s="71"/>
      <c r="J141" s="71"/>
    </row>
    <row r="142" spans="1:10">
      <c r="A142" s="71"/>
      <c r="B142" s="72"/>
      <c r="C142" s="71"/>
      <c r="D142" s="71"/>
      <c r="E142" s="71"/>
      <c r="F142" s="71"/>
      <c r="G142" s="71"/>
      <c r="H142" s="71"/>
      <c r="I142" s="71"/>
      <c r="J142" s="71"/>
    </row>
    <row r="143" spans="1:10">
      <c r="A143" s="71"/>
      <c r="B143" s="72"/>
      <c r="C143" s="71"/>
      <c r="D143" s="71"/>
      <c r="E143" s="71"/>
      <c r="F143" s="71"/>
      <c r="G143" s="71"/>
      <c r="H143" s="71"/>
      <c r="I143" s="71"/>
      <c r="J143" s="71"/>
    </row>
    <row r="144" spans="1:10">
      <c r="A144" s="71"/>
      <c r="B144" s="72"/>
      <c r="C144" s="71"/>
      <c r="D144" s="71"/>
      <c r="E144" s="71"/>
      <c r="F144" s="71"/>
      <c r="G144" s="71"/>
      <c r="H144" s="71"/>
      <c r="I144" s="71"/>
      <c r="J144" s="71"/>
    </row>
    <row r="145" spans="1:10">
      <c r="A145" s="71"/>
      <c r="B145" s="72"/>
      <c r="C145" s="71"/>
      <c r="D145" s="71"/>
      <c r="E145" s="71"/>
      <c r="F145" s="71"/>
      <c r="G145" s="71"/>
      <c r="H145" s="71"/>
      <c r="I145" s="71"/>
      <c r="J145" s="71"/>
    </row>
    <row r="146" spans="1:10">
      <c r="A146" s="71"/>
      <c r="B146" s="72"/>
      <c r="C146" s="71"/>
      <c r="D146" s="71"/>
      <c r="E146" s="71"/>
      <c r="F146" s="71"/>
      <c r="G146" s="71"/>
      <c r="H146" s="71"/>
      <c r="I146" s="71"/>
      <c r="J146" s="71"/>
    </row>
    <row r="147" spans="1:10">
      <c r="A147" s="71"/>
      <c r="B147" s="72"/>
      <c r="C147" s="71"/>
      <c r="D147" s="71"/>
      <c r="E147" s="71"/>
      <c r="F147" s="71"/>
      <c r="G147" s="71"/>
      <c r="H147" s="76"/>
      <c r="I147" s="76"/>
      <c r="J147" s="76"/>
    </row>
    <row r="148" spans="1:10">
      <c r="A148" s="71"/>
      <c r="B148" s="72"/>
      <c r="C148" s="71"/>
      <c r="D148" s="71"/>
      <c r="E148" s="71"/>
      <c r="F148" s="71"/>
      <c r="G148" s="71"/>
      <c r="H148" s="76"/>
      <c r="I148" s="76"/>
      <c r="J148" s="76"/>
    </row>
    <row r="149" spans="1:10">
      <c r="A149" s="71"/>
      <c r="B149" s="72"/>
      <c r="C149" s="71"/>
      <c r="D149" s="71"/>
      <c r="E149" s="71"/>
      <c r="F149" s="71"/>
      <c r="G149" s="71"/>
      <c r="H149" s="76"/>
      <c r="I149" s="76"/>
      <c r="J149" s="76"/>
    </row>
    <row r="150" spans="1:10">
      <c r="A150" s="71"/>
      <c r="B150" s="72"/>
      <c r="C150" s="71"/>
      <c r="D150" s="71"/>
      <c r="E150" s="71"/>
      <c r="F150" s="71"/>
      <c r="G150" s="71"/>
      <c r="H150" s="76"/>
      <c r="I150" s="76"/>
      <c r="J150" s="76"/>
    </row>
    <row r="151" spans="1:10">
      <c r="A151" s="71"/>
      <c r="B151" s="72"/>
      <c r="C151" s="71"/>
      <c r="D151" s="71"/>
      <c r="E151" s="71"/>
      <c r="F151" s="71"/>
      <c r="G151" s="71"/>
      <c r="H151" s="71"/>
      <c r="I151" s="71"/>
      <c r="J151" s="71"/>
    </row>
    <row r="152" spans="1:10">
      <c r="A152" s="71"/>
      <c r="B152" s="72"/>
      <c r="C152" s="71"/>
      <c r="D152" s="71"/>
      <c r="E152" s="71"/>
      <c r="F152" s="71"/>
      <c r="G152" s="71"/>
      <c r="H152" s="71"/>
      <c r="I152" s="71"/>
      <c r="J152" s="71"/>
    </row>
    <row r="153" spans="1:10">
      <c r="A153" s="71"/>
      <c r="B153" s="72"/>
      <c r="C153" s="71"/>
      <c r="D153" s="71"/>
      <c r="E153" s="71"/>
      <c r="F153" s="71"/>
      <c r="G153" s="71"/>
      <c r="H153" s="71"/>
      <c r="I153" s="71"/>
      <c r="J153" s="71"/>
    </row>
    <row r="154" spans="1:10">
      <c r="A154" s="71"/>
      <c r="B154" s="72"/>
      <c r="C154" s="71"/>
      <c r="D154" s="71"/>
      <c r="E154" s="71"/>
      <c r="F154" s="71"/>
      <c r="G154" s="71"/>
      <c r="H154" s="71"/>
      <c r="I154" s="71"/>
      <c r="J154" s="71"/>
    </row>
    <row r="155" spans="1:10">
      <c r="A155" s="71"/>
      <c r="B155" s="72"/>
      <c r="C155" s="71"/>
      <c r="D155" s="71"/>
      <c r="E155" s="71"/>
      <c r="F155" s="71"/>
      <c r="G155" s="71"/>
      <c r="H155" s="71"/>
      <c r="I155" s="71"/>
      <c r="J155" s="71"/>
    </row>
    <row r="156" spans="1:10">
      <c r="A156" s="71"/>
      <c r="B156" s="72"/>
      <c r="C156" s="71"/>
      <c r="D156" s="71"/>
      <c r="E156" s="71"/>
      <c r="F156" s="71"/>
      <c r="G156" s="71"/>
      <c r="H156" s="71"/>
      <c r="I156" s="71"/>
      <c r="J156" s="71"/>
    </row>
    <row r="157" spans="1:10">
      <c r="A157" s="71"/>
      <c r="B157" s="72"/>
      <c r="C157" s="71"/>
      <c r="D157" s="71"/>
      <c r="E157" s="71"/>
      <c r="F157" s="71"/>
      <c r="G157" s="71"/>
      <c r="H157" s="71"/>
      <c r="I157" s="71"/>
      <c r="J157" s="71"/>
    </row>
    <row r="158" spans="1:10">
      <c r="A158" s="71"/>
      <c r="B158" s="72"/>
      <c r="C158" s="71"/>
      <c r="D158" s="71"/>
      <c r="E158" s="71"/>
      <c r="F158" s="71"/>
      <c r="G158" s="71"/>
      <c r="H158" s="71"/>
      <c r="I158" s="71"/>
      <c r="J158" s="71"/>
    </row>
    <row r="159" spans="1:10">
      <c r="A159" s="71"/>
      <c r="B159" s="72"/>
      <c r="C159" s="71"/>
      <c r="D159" s="71"/>
      <c r="E159" s="71"/>
      <c r="F159" s="71"/>
      <c r="G159" s="71"/>
      <c r="H159" s="71"/>
      <c r="I159" s="71"/>
      <c r="J159" s="71"/>
    </row>
    <row r="160" spans="1:10">
      <c r="A160" s="71"/>
      <c r="B160" s="72"/>
      <c r="C160" s="71"/>
      <c r="D160" s="71"/>
      <c r="E160" s="71"/>
      <c r="F160" s="71"/>
      <c r="G160" s="71"/>
      <c r="H160" s="71"/>
      <c r="I160" s="71"/>
      <c r="J160" s="71"/>
    </row>
    <row r="161" spans="1:10">
      <c r="A161" s="71"/>
      <c r="B161" s="72"/>
      <c r="C161" s="71"/>
      <c r="D161" s="71"/>
      <c r="E161" s="71"/>
      <c r="F161" s="71"/>
      <c r="G161" s="71"/>
      <c r="H161" s="71"/>
      <c r="I161" s="71"/>
      <c r="J161" s="71"/>
    </row>
    <row r="162" spans="1:10">
      <c r="A162" s="71"/>
      <c r="B162" s="72"/>
      <c r="C162" s="71"/>
      <c r="D162" s="71"/>
      <c r="E162" s="71"/>
      <c r="F162" s="71"/>
      <c r="G162" s="71"/>
      <c r="H162" s="71"/>
      <c r="I162" s="71"/>
      <c r="J162" s="71"/>
    </row>
    <row r="163" spans="1:10">
      <c r="A163" s="71"/>
      <c r="B163" s="72"/>
      <c r="C163" s="71"/>
      <c r="D163" s="71"/>
      <c r="E163" s="71"/>
      <c r="F163" s="71"/>
      <c r="G163" s="71"/>
      <c r="H163" s="71"/>
      <c r="I163" s="71"/>
      <c r="J163" s="71"/>
    </row>
    <row r="164" spans="1:10">
      <c r="A164" s="71"/>
      <c r="B164" s="72"/>
      <c r="C164" s="71"/>
      <c r="D164" s="71"/>
      <c r="E164" s="71"/>
      <c r="F164" s="71"/>
      <c r="G164" s="71"/>
      <c r="H164" s="71"/>
      <c r="I164" s="71"/>
      <c r="J164" s="71"/>
    </row>
    <row r="165" spans="1:10">
      <c r="A165" s="71"/>
      <c r="B165" s="72"/>
      <c r="C165" s="71"/>
      <c r="D165" s="71"/>
      <c r="E165" s="71"/>
      <c r="F165" s="71"/>
      <c r="G165" s="71"/>
      <c r="H165" s="71"/>
      <c r="I165" s="71"/>
      <c r="J165" s="71"/>
    </row>
    <row r="166" spans="1:10">
      <c r="A166" s="71"/>
      <c r="B166" s="72"/>
      <c r="C166" s="71"/>
      <c r="D166" s="71"/>
      <c r="E166" s="71"/>
      <c r="F166" s="71"/>
      <c r="G166" s="71"/>
      <c r="H166" s="71"/>
      <c r="I166" s="71"/>
      <c r="J166" s="71"/>
    </row>
    <row r="167" spans="1:10">
      <c r="A167" s="71"/>
      <c r="B167" s="72"/>
      <c r="C167" s="71"/>
      <c r="D167" s="71"/>
      <c r="E167" s="71"/>
      <c r="F167" s="71"/>
      <c r="G167" s="71"/>
      <c r="H167" s="71"/>
      <c r="I167" s="71"/>
      <c r="J167" s="71"/>
    </row>
    <row r="168" spans="1:10">
      <c r="A168" s="71"/>
      <c r="B168" s="72"/>
      <c r="C168" s="71"/>
      <c r="D168" s="71"/>
      <c r="E168" s="71"/>
      <c r="F168" s="71"/>
      <c r="G168" s="71"/>
      <c r="H168" s="71"/>
      <c r="I168" s="71"/>
      <c r="J168" s="71"/>
    </row>
    <row r="169" spans="1:10">
      <c r="A169" s="71"/>
      <c r="B169" s="72"/>
      <c r="C169" s="71"/>
      <c r="D169" s="71"/>
      <c r="E169" s="71"/>
      <c r="F169" s="71"/>
      <c r="G169" s="71"/>
      <c r="H169" s="71"/>
      <c r="I169" s="71"/>
      <c r="J169" s="71"/>
    </row>
    <row r="170" spans="1:10">
      <c r="A170" s="71"/>
      <c r="B170" s="72"/>
      <c r="C170" s="71"/>
      <c r="D170" s="71"/>
      <c r="E170" s="71"/>
      <c r="F170" s="71"/>
      <c r="G170" s="71"/>
      <c r="H170" s="71"/>
      <c r="I170" s="71"/>
      <c r="J170" s="71"/>
    </row>
    <row r="171" spans="1:10">
      <c r="A171" s="71"/>
      <c r="B171" s="72"/>
      <c r="C171" s="71"/>
      <c r="D171" s="71"/>
      <c r="E171" s="71"/>
      <c r="F171" s="71"/>
      <c r="G171" s="71"/>
      <c r="H171" s="71"/>
      <c r="I171" s="71"/>
      <c r="J171" s="71"/>
    </row>
    <row r="172" spans="1:10">
      <c r="A172" s="71"/>
      <c r="B172" s="72"/>
      <c r="C172" s="71"/>
      <c r="D172" s="71"/>
      <c r="E172" s="71"/>
      <c r="F172" s="71"/>
      <c r="G172" s="71"/>
      <c r="H172" s="71"/>
      <c r="I172" s="71"/>
      <c r="J172" s="71"/>
    </row>
    <row r="173" spans="1:10">
      <c r="A173" s="71"/>
      <c r="B173" s="72"/>
      <c r="C173" s="71"/>
      <c r="D173" s="71"/>
      <c r="E173" s="71"/>
      <c r="F173" s="71"/>
      <c r="G173" s="71"/>
      <c r="H173" s="71"/>
      <c r="I173" s="71"/>
      <c r="J173" s="71"/>
    </row>
    <row r="174" spans="1:10">
      <c r="A174" s="71"/>
      <c r="B174" s="72"/>
      <c r="C174" s="71"/>
      <c r="D174" s="71"/>
      <c r="E174" s="71"/>
      <c r="F174" s="71"/>
      <c r="G174" s="71"/>
      <c r="H174" s="71"/>
      <c r="I174" s="71"/>
      <c r="J174" s="71"/>
    </row>
    <row r="175" spans="1:10">
      <c r="A175" s="71"/>
      <c r="B175" s="72"/>
      <c r="C175" s="71"/>
      <c r="D175" s="71"/>
      <c r="E175" s="71"/>
      <c r="F175" s="71"/>
      <c r="G175" s="71"/>
      <c r="H175" s="71"/>
      <c r="I175" s="71"/>
      <c r="J175" s="71"/>
    </row>
    <row r="176" spans="1:10">
      <c r="A176" s="71"/>
      <c r="B176" s="72"/>
      <c r="C176" s="71"/>
      <c r="D176" s="71"/>
      <c r="E176" s="71"/>
      <c r="F176" s="71"/>
      <c r="G176" s="71"/>
      <c r="H176" s="71"/>
      <c r="I176" s="71"/>
      <c r="J176" s="71"/>
    </row>
    <row r="177" spans="1:10">
      <c r="A177" s="71"/>
      <c r="B177" s="72"/>
      <c r="C177" s="71"/>
      <c r="D177" s="71"/>
      <c r="E177" s="71"/>
      <c r="F177" s="71"/>
      <c r="G177" s="71"/>
      <c r="H177" s="71"/>
      <c r="I177" s="71"/>
      <c r="J177" s="71"/>
    </row>
    <row r="178" spans="1:10">
      <c r="A178" s="71"/>
      <c r="B178" s="72"/>
      <c r="C178" s="71"/>
      <c r="D178" s="71"/>
      <c r="E178" s="71"/>
      <c r="F178" s="71"/>
      <c r="G178" s="71"/>
      <c r="H178" s="71"/>
      <c r="I178" s="71"/>
      <c r="J178" s="71"/>
    </row>
    <row r="179" spans="1:10">
      <c r="A179" s="71"/>
      <c r="B179" s="72"/>
      <c r="C179" s="71"/>
      <c r="D179" s="71"/>
      <c r="E179" s="71"/>
      <c r="F179" s="71"/>
      <c r="G179" s="71"/>
      <c r="H179" s="71"/>
      <c r="I179" s="71"/>
      <c r="J179" s="71"/>
    </row>
    <row r="180" spans="1:10">
      <c r="A180" s="71"/>
      <c r="B180" s="72"/>
      <c r="C180" s="71"/>
      <c r="D180" s="71"/>
      <c r="E180" s="71"/>
      <c r="F180" s="71"/>
      <c r="G180" s="71"/>
      <c r="H180" s="71"/>
      <c r="I180" s="71"/>
      <c r="J180" s="71"/>
    </row>
    <row r="181" spans="1:10">
      <c r="A181" s="71"/>
      <c r="B181" s="72"/>
      <c r="C181" s="71"/>
      <c r="D181" s="71"/>
      <c r="E181" s="71"/>
      <c r="F181" s="71"/>
      <c r="G181" s="71"/>
      <c r="H181" s="71"/>
      <c r="I181" s="71"/>
      <c r="J181" s="71"/>
    </row>
    <row r="182" spans="1:10">
      <c r="A182" s="71"/>
      <c r="B182" s="72"/>
      <c r="C182" s="71"/>
      <c r="D182" s="71"/>
      <c r="E182" s="71"/>
      <c r="F182" s="71"/>
      <c r="G182" s="71"/>
      <c r="H182" s="71"/>
      <c r="I182" s="71"/>
      <c r="J182" s="71"/>
    </row>
    <row r="183" spans="1:10">
      <c r="A183" s="71"/>
      <c r="B183" s="72"/>
      <c r="C183" s="71"/>
      <c r="D183" s="71"/>
      <c r="E183" s="71"/>
      <c r="F183" s="71"/>
      <c r="G183" s="71"/>
      <c r="H183" s="71"/>
      <c r="I183" s="71"/>
      <c r="J183" s="71"/>
    </row>
    <row r="184" spans="1:10">
      <c r="A184" s="71"/>
      <c r="B184" s="72"/>
      <c r="C184" s="71"/>
      <c r="D184" s="71"/>
      <c r="E184" s="71"/>
      <c r="F184" s="71"/>
      <c r="G184" s="71"/>
      <c r="H184" s="71"/>
      <c r="I184" s="71"/>
      <c r="J184" s="71"/>
    </row>
    <row r="185" spans="1:10">
      <c r="A185" s="71"/>
      <c r="B185" s="72"/>
      <c r="C185" s="71"/>
      <c r="D185" s="71"/>
      <c r="E185" s="71"/>
      <c r="F185" s="71"/>
      <c r="G185" s="71"/>
      <c r="H185" s="71"/>
      <c r="I185" s="71"/>
      <c r="J185" s="71"/>
    </row>
    <row r="186" spans="1:10">
      <c r="A186" s="71"/>
      <c r="B186" s="72"/>
      <c r="C186" s="71"/>
      <c r="D186" s="71"/>
      <c r="E186" s="71"/>
      <c r="F186" s="71"/>
      <c r="G186" s="71"/>
      <c r="H186" s="71"/>
      <c r="I186" s="71"/>
      <c r="J186" s="71"/>
    </row>
    <row r="187" spans="1:10">
      <c r="A187" s="71"/>
      <c r="B187" s="72"/>
      <c r="C187" s="71"/>
      <c r="D187" s="71"/>
      <c r="E187" s="71"/>
      <c r="F187" s="71"/>
      <c r="G187" s="71"/>
      <c r="H187" s="71"/>
      <c r="I187" s="71"/>
      <c r="J187" s="71"/>
    </row>
    <row r="188" spans="1:10">
      <c r="A188" s="71"/>
      <c r="B188" s="72"/>
      <c r="C188" s="71"/>
      <c r="D188" s="71"/>
      <c r="E188" s="71"/>
      <c r="F188" s="71"/>
      <c r="G188" s="71"/>
      <c r="H188" s="71"/>
      <c r="I188" s="71"/>
      <c r="J188" s="71"/>
    </row>
    <row r="189" spans="1:10">
      <c r="A189" s="71"/>
      <c r="B189" s="72"/>
      <c r="C189" s="71"/>
      <c r="D189" s="71"/>
      <c r="E189" s="71"/>
      <c r="F189" s="71"/>
      <c r="G189" s="71"/>
      <c r="H189" s="71"/>
      <c r="I189" s="71"/>
      <c r="J189" s="71"/>
    </row>
    <row r="190" spans="1:10">
      <c r="A190" s="71"/>
      <c r="B190" s="72"/>
      <c r="C190" s="71"/>
      <c r="D190" s="71"/>
      <c r="E190" s="71"/>
      <c r="F190" s="71"/>
      <c r="G190" s="71"/>
      <c r="H190" s="71"/>
      <c r="I190" s="71"/>
      <c r="J190" s="71"/>
    </row>
    <row r="191" spans="1:10">
      <c r="A191" s="71"/>
      <c r="B191" s="72"/>
      <c r="C191" s="71"/>
      <c r="D191" s="71"/>
      <c r="E191" s="71"/>
      <c r="F191" s="71"/>
      <c r="G191" s="71"/>
      <c r="H191" s="71"/>
      <c r="I191" s="71"/>
      <c r="J191" s="71"/>
    </row>
    <row r="192" spans="1:10">
      <c r="A192" s="71"/>
      <c r="B192" s="72"/>
      <c r="C192" s="71"/>
      <c r="D192" s="71"/>
      <c r="E192" s="71"/>
      <c r="F192" s="71"/>
      <c r="G192" s="71"/>
      <c r="H192" s="71"/>
      <c r="I192" s="71"/>
      <c r="J192" s="71"/>
    </row>
    <row r="193" spans="1:10">
      <c r="A193" s="71"/>
      <c r="B193" s="72"/>
      <c r="C193" s="71"/>
      <c r="D193" s="71"/>
      <c r="E193" s="71"/>
      <c r="F193" s="71"/>
      <c r="G193" s="71"/>
      <c r="H193" s="71"/>
      <c r="I193" s="71"/>
      <c r="J193" s="71"/>
    </row>
    <row r="194" spans="1:10">
      <c r="A194" s="71"/>
      <c r="B194" s="72"/>
      <c r="C194" s="71"/>
      <c r="D194" s="71"/>
      <c r="E194" s="71"/>
      <c r="F194" s="71"/>
      <c r="G194" s="71"/>
      <c r="H194" s="71"/>
      <c r="I194" s="71"/>
      <c r="J194" s="71"/>
    </row>
    <row r="195" spans="1:10">
      <c r="A195" s="71"/>
      <c r="B195" s="72"/>
      <c r="C195" s="71"/>
      <c r="D195" s="71"/>
      <c r="E195" s="71"/>
      <c r="F195" s="71"/>
      <c r="G195" s="71"/>
      <c r="H195" s="71"/>
      <c r="I195" s="71"/>
      <c r="J195" s="71"/>
    </row>
    <row r="196" spans="1:10">
      <c r="A196" s="71"/>
      <c r="B196" s="72"/>
      <c r="C196" s="71"/>
      <c r="D196" s="71"/>
      <c r="E196" s="71"/>
      <c r="F196" s="71"/>
      <c r="G196" s="71"/>
      <c r="H196" s="71"/>
      <c r="I196" s="71"/>
      <c r="J196" s="71"/>
    </row>
    <row r="197" spans="1:10">
      <c r="A197" s="71"/>
      <c r="B197" s="72"/>
      <c r="C197" s="71"/>
      <c r="D197" s="71"/>
      <c r="E197" s="71"/>
      <c r="F197" s="71"/>
      <c r="G197" s="71"/>
      <c r="H197" s="71"/>
      <c r="I197" s="71"/>
      <c r="J197" s="71"/>
    </row>
    <row r="198" spans="1:10">
      <c r="A198" s="71"/>
      <c r="B198" s="72"/>
      <c r="C198" s="71"/>
      <c r="D198" s="71"/>
      <c r="E198" s="71"/>
      <c r="F198" s="71"/>
      <c r="G198" s="71"/>
      <c r="H198" s="71"/>
      <c r="I198" s="71"/>
      <c r="J198" s="71"/>
    </row>
    <row r="199" spans="1:10">
      <c r="A199" s="71"/>
      <c r="B199" s="72"/>
      <c r="C199" s="71"/>
      <c r="D199" s="71"/>
      <c r="E199" s="71"/>
      <c r="F199" s="71"/>
      <c r="G199" s="71"/>
      <c r="H199" s="71"/>
      <c r="I199" s="71"/>
      <c r="J199" s="71"/>
    </row>
    <row r="200" spans="1:10">
      <c r="A200" s="71"/>
      <c r="B200" s="72"/>
      <c r="C200" s="71"/>
      <c r="D200" s="71"/>
      <c r="E200" s="71"/>
      <c r="F200" s="71"/>
      <c r="G200" s="71"/>
      <c r="H200" s="71"/>
      <c r="I200" s="71"/>
      <c r="J200" s="71"/>
    </row>
    <row r="201" spans="1:10">
      <c r="A201" s="71"/>
      <c r="B201" s="72"/>
      <c r="C201" s="71"/>
      <c r="D201" s="71"/>
      <c r="E201" s="71"/>
      <c r="F201" s="71"/>
      <c r="G201" s="71"/>
      <c r="H201" s="71"/>
      <c r="I201" s="71"/>
      <c r="J201" s="71"/>
    </row>
    <row r="202" spans="1:10">
      <c r="A202" s="71"/>
      <c r="B202" s="72"/>
      <c r="C202" s="71"/>
      <c r="D202" s="71"/>
      <c r="E202" s="71"/>
      <c r="F202" s="71"/>
      <c r="G202" s="71"/>
      <c r="H202" s="71"/>
      <c r="I202" s="71"/>
      <c r="J202" s="71"/>
    </row>
    <row r="203" spans="1:10">
      <c r="A203" s="71"/>
      <c r="B203" s="72"/>
      <c r="C203" s="71"/>
      <c r="D203" s="71"/>
      <c r="E203" s="71"/>
      <c r="F203" s="71"/>
      <c r="G203" s="71"/>
      <c r="H203" s="71"/>
      <c r="I203" s="71"/>
      <c r="J203" s="71"/>
    </row>
    <row r="204" spans="1:10">
      <c r="A204" s="71"/>
      <c r="B204" s="72"/>
      <c r="C204" s="71"/>
      <c r="D204" s="71"/>
      <c r="E204" s="71"/>
      <c r="F204" s="71"/>
      <c r="G204" s="71"/>
      <c r="H204" s="71"/>
      <c r="I204" s="71"/>
      <c r="J204" s="71"/>
    </row>
    <row r="205" spans="1:10">
      <c r="A205" s="71"/>
      <c r="B205" s="72"/>
      <c r="C205" s="71"/>
      <c r="D205" s="71"/>
      <c r="E205" s="71"/>
      <c r="F205" s="71"/>
      <c r="G205" s="71"/>
      <c r="H205" s="71"/>
      <c r="I205" s="71"/>
      <c r="J205" s="71"/>
    </row>
    <row r="206" spans="1:10">
      <c r="A206" s="71"/>
      <c r="B206" s="72"/>
      <c r="C206" s="71"/>
      <c r="D206" s="71"/>
      <c r="E206" s="71"/>
      <c r="F206" s="71"/>
      <c r="G206" s="71"/>
      <c r="H206" s="71"/>
      <c r="I206" s="71"/>
      <c r="J206" s="71"/>
    </row>
    <row r="207" spans="1:10">
      <c r="A207" s="71"/>
      <c r="B207" s="72"/>
      <c r="C207" s="71"/>
      <c r="D207" s="71"/>
      <c r="E207" s="71"/>
      <c r="F207" s="71"/>
      <c r="G207" s="71"/>
      <c r="H207" s="71"/>
      <c r="I207" s="71"/>
      <c r="J207" s="71"/>
    </row>
    <row r="208" spans="1:10">
      <c r="A208" s="71"/>
      <c r="B208" s="72"/>
      <c r="C208" s="71"/>
      <c r="D208" s="71"/>
      <c r="E208" s="71"/>
      <c r="F208" s="71"/>
      <c r="G208" s="71"/>
      <c r="H208" s="71"/>
      <c r="I208" s="71"/>
      <c r="J208" s="71"/>
    </row>
    <row r="209" spans="1:10">
      <c r="A209" s="71"/>
      <c r="B209" s="72"/>
      <c r="C209" s="71"/>
      <c r="D209" s="71"/>
      <c r="E209" s="71"/>
      <c r="F209" s="71"/>
      <c r="G209" s="71"/>
      <c r="H209" s="71"/>
      <c r="I209" s="71"/>
      <c r="J209" s="71"/>
    </row>
    <row r="210" spans="1:10">
      <c r="A210" s="71"/>
      <c r="B210" s="72"/>
      <c r="C210" s="71"/>
      <c r="D210" s="71"/>
      <c r="E210" s="71"/>
      <c r="F210" s="71"/>
      <c r="G210" s="71"/>
      <c r="H210" s="71"/>
      <c r="I210" s="71"/>
      <c r="J210" s="71"/>
    </row>
    <row r="211" spans="1:10">
      <c r="A211" s="71"/>
      <c r="B211" s="72"/>
      <c r="C211" s="71"/>
      <c r="D211" s="71"/>
      <c r="E211" s="71"/>
      <c r="F211" s="71"/>
      <c r="G211" s="71"/>
      <c r="H211" s="71"/>
      <c r="I211" s="71"/>
      <c r="J211" s="71"/>
    </row>
    <row r="212" spans="1:10">
      <c r="A212" s="71"/>
      <c r="B212" s="72"/>
      <c r="C212" s="71"/>
      <c r="D212" s="71"/>
      <c r="E212" s="71"/>
      <c r="F212" s="71"/>
      <c r="G212" s="71"/>
      <c r="H212" s="71"/>
      <c r="I212" s="71"/>
      <c r="J212" s="71"/>
    </row>
    <row r="213" spans="1:10">
      <c r="A213" s="71"/>
      <c r="B213" s="72"/>
      <c r="C213" s="71"/>
      <c r="D213" s="71"/>
      <c r="E213" s="71"/>
      <c r="F213" s="71"/>
      <c r="G213" s="71"/>
      <c r="H213" s="71"/>
      <c r="I213" s="71"/>
      <c r="J213" s="71"/>
    </row>
    <row r="214" spans="1:10">
      <c r="A214" s="71"/>
      <c r="B214" s="72"/>
      <c r="C214" s="71"/>
      <c r="D214" s="71"/>
      <c r="E214" s="71"/>
      <c r="F214" s="71"/>
      <c r="G214" s="71"/>
      <c r="H214" s="71"/>
      <c r="I214" s="71"/>
      <c r="J214" s="71"/>
    </row>
    <row r="215" spans="1:10">
      <c r="A215" s="71"/>
      <c r="B215" s="72"/>
      <c r="C215" s="71"/>
      <c r="D215" s="71"/>
      <c r="E215" s="71"/>
      <c r="F215" s="71"/>
      <c r="G215" s="71"/>
      <c r="H215" s="71"/>
      <c r="I215" s="71"/>
      <c r="J215" s="71"/>
    </row>
    <row r="216" spans="1:10">
      <c r="A216" s="71"/>
      <c r="B216" s="72"/>
      <c r="C216" s="71"/>
      <c r="D216" s="71"/>
      <c r="E216" s="71"/>
      <c r="F216" s="71"/>
      <c r="G216" s="71"/>
      <c r="H216" s="71"/>
      <c r="I216" s="71"/>
      <c r="J216" s="71"/>
    </row>
    <row r="217" spans="1:10">
      <c r="A217" s="71"/>
      <c r="B217" s="72"/>
      <c r="C217" s="71"/>
      <c r="D217" s="71"/>
      <c r="E217" s="71"/>
      <c r="F217" s="71"/>
      <c r="G217" s="71"/>
      <c r="H217" s="71"/>
      <c r="I217" s="71"/>
      <c r="J217" s="71"/>
    </row>
    <row r="218" spans="1:10">
      <c r="A218" s="71"/>
      <c r="B218" s="72"/>
      <c r="C218" s="71"/>
      <c r="D218" s="71"/>
      <c r="E218" s="71"/>
      <c r="F218" s="71"/>
      <c r="G218" s="71"/>
      <c r="H218" s="71"/>
      <c r="I218" s="71"/>
      <c r="J218" s="71"/>
    </row>
    <row r="219" spans="1:10">
      <c r="A219" s="71"/>
      <c r="B219" s="72"/>
      <c r="C219" s="71"/>
      <c r="D219" s="71"/>
      <c r="E219" s="71"/>
      <c r="F219" s="71"/>
      <c r="G219" s="71"/>
      <c r="H219" s="71"/>
      <c r="I219" s="71"/>
      <c r="J219" s="71"/>
    </row>
    <row r="220" spans="1:10">
      <c r="A220" s="71"/>
      <c r="B220" s="72"/>
      <c r="C220" s="71"/>
      <c r="D220" s="71"/>
      <c r="E220" s="71"/>
      <c r="F220" s="71"/>
      <c r="G220" s="71"/>
      <c r="H220" s="71"/>
      <c r="I220" s="71"/>
      <c r="J220" s="71"/>
    </row>
    <row r="221" spans="1:10">
      <c r="A221" s="71"/>
      <c r="B221" s="72"/>
      <c r="C221" s="71"/>
      <c r="D221" s="71"/>
      <c r="E221" s="71"/>
      <c r="F221" s="71"/>
      <c r="G221" s="71"/>
      <c r="H221" s="71"/>
      <c r="I221" s="71"/>
      <c r="J221" s="71"/>
    </row>
    <row r="222" spans="1:10">
      <c r="A222" s="71"/>
      <c r="B222" s="72"/>
      <c r="C222" s="71"/>
      <c r="D222" s="71"/>
      <c r="E222" s="71"/>
      <c r="F222" s="71"/>
      <c r="G222" s="71"/>
      <c r="H222" s="71"/>
      <c r="I222" s="71"/>
      <c r="J222" s="71"/>
    </row>
    <row r="223" spans="1:10">
      <c r="A223" s="71"/>
      <c r="B223" s="72"/>
      <c r="C223" s="71"/>
      <c r="D223" s="71"/>
      <c r="E223" s="71"/>
      <c r="F223" s="71"/>
      <c r="G223" s="71"/>
      <c r="H223" s="71"/>
      <c r="I223" s="71"/>
      <c r="J223" s="71"/>
    </row>
    <row r="224" spans="1:10">
      <c r="A224" s="71"/>
      <c r="B224" s="72"/>
      <c r="C224" s="71"/>
      <c r="D224" s="71"/>
      <c r="E224" s="71"/>
      <c r="F224" s="71"/>
      <c r="G224" s="71"/>
      <c r="H224" s="71"/>
      <c r="I224" s="71"/>
      <c r="J224" s="71"/>
    </row>
    <row r="225" spans="1:10">
      <c r="A225" s="71"/>
      <c r="B225" s="72"/>
      <c r="C225" s="71"/>
      <c r="D225" s="71"/>
      <c r="E225" s="71"/>
      <c r="F225" s="71"/>
      <c r="G225" s="71"/>
      <c r="H225" s="71"/>
      <c r="I225" s="71"/>
      <c r="J225" s="71"/>
    </row>
    <row r="226" spans="1:10">
      <c r="A226" s="71"/>
      <c r="B226" s="72"/>
      <c r="C226" s="71"/>
      <c r="D226" s="71"/>
      <c r="E226" s="71"/>
      <c r="F226" s="71"/>
      <c r="G226" s="71"/>
      <c r="H226" s="71"/>
      <c r="I226" s="71"/>
      <c r="J226" s="71"/>
    </row>
    <row r="227" spans="1:10">
      <c r="A227" s="71"/>
      <c r="B227" s="72"/>
      <c r="C227" s="71"/>
      <c r="D227" s="71"/>
      <c r="E227" s="71"/>
      <c r="F227" s="71"/>
      <c r="G227" s="71"/>
      <c r="H227" s="71"/>
      <c r="I227" s="71"/>
      <c r="J227" s="71"/>
    </row>
    <row r="228" spans="1:10">
      <c r="A228" s="71"/>
      <c r="B228" s="72"/>
      <c r="C228" s="71"/>
      <c r="D228" s="71"/>
      <c r="E228" s="71"/>
      <c r="F228" s="71"/>
      <c r="G228" s="71"/>
      <c r="H228" s="71"/>
      <c r="I228" s="71"/>
      <c r="J228" s="71"/>
    </row>
    <row r="229" spans="1:10">
      <c r="A229" s="71"/>
      <c r="B229" s="72"/>
      <c r="C229" s="71"/>
      <c r="D229" s="71"/>
      <c r="E229" s="71"/>
      <c r="F229" s="71"/>
      <c r="G229" s="71"/>
      <c r="H229" s="71"/>
      <c r="I229" s="71"/>
      <c r="J229" s="71"/>
    </row>
    <row r="230" spans="1:10">
      <c r="A230" s="71"/>
      <c r="B230" s="72"/>
      <c r="C230" s="71"/>
      <c r="D230" s="71"/>
      <c r="E230" s="71"/>
      <c r="F230" s="71"/>
      <c r="G230" s="71"/>
      <c r="H230" s="71"/>
      <c r="I230" s="71"/>
      <c r="J230" s="71"/>
    </row>
    <row r="231" spans="1:10">
      <c r="A231" s="71"/>
      <c r="B231" s="72"/>
      <c r="C231" s="71"/>
      <c r="D231" s="71"/>
      <c r="E231" s="71"/>
      <c r="F231" s="71"/>
      <c r="G231" s="71"/>
      <c r="H231" s="71"/>
      <c r="I231" s="71"/>
      <c r="J231" s="71"/>
    </row>
    <row r="232" spans="1:10">
      <c r="A232" s="71"/>
      <c r="B232" s="72"/>
      <c r="C232" s="71"/>
      <c r="D232" s="71"/>
      <c r="E232" s="71"/>
      <c r="F232" s="71"/>
      <c r="G232" s="71"/>
      <c r="H232" s="71"/>
      <c r="I232" s="71"/>
      <c r="J232" s="71"/>
    </row>
    <row r="233" spans="1:10">
      <c r="A233" s="71"/>
      <c r="B233" s="72"/>
      <c r="C233" s="71"/>
      <c r="D233" s="71"/>
      <c r="E233" s="71"/>
      <c r="F233" s="71"/>
      <c r="G233" s="71"/>
      <c r="H233" s="71"/>
      <c r="I233" s="71"/>
      <c r="J233" s="71"/>
    </row>
    <row r="234" spans="1:10">
      <c r="A234" s="71"/>
      <c r="B234" s="72"/>
      <c r="C234" s="71"/>
      <c r="D234" s="71"/>
      <c r="E234" s="71"/>
      <c r="F234" s="71"/>
      <c r="G234" s="71"/>
      <c r="H234" s="71"/>
      <c r="I234" s="71"/>
      <c r="J234" s="71"/>
    </row>
    <row r="235" spans="1:10">
      <c r="A235" s="71"/>
      <c r="B235" s="72"/>
      <c r="C235" s="71"/>
      <c r="D235" s="71"/>
      <c r="E235" s="71"/>
      <c r="F235" s="71"/>
      <c r="G235" s="71"/>
      <c r="H235" s="71"/>
      <c r="I235" s="71"/>
      <c r="J235" s="71"/>
    </row>
    <row r="236" spans="1:10">
      <c r="A236" s="71"/>
      <c r="B236" s="72"/>
      <c r="C236" s="71"/>
      <c r="D236" s="71"/>
      <c r="E236" s="71"/>
      <c r="F236" s="71"/>
      <c r="G236" s="71"/>
      <c r="H236" s="71"/>
      <c r="I236" s="71"/>
      <c r="J236" s="71"/>
    </row>
    <row r="237" spans="1:10">
      <c r="A237" s="71"/>
      <c r="B237" s="72"/>
      <c r="C237" s="71"/>
      <c r="D237" s="71"/>
      <c r="E237" s="71"/>
      <c r="F237" s="71"/>
      <c r="G237" s="71"/>
      <c r="H237" s="71"/>
      <c r="I237" s="71"/>
      <c r="J237" s="71"/>
    </row>
    <row r="238" spans="1:10">
      <c r="A238" s="71"/>
      <c r="B238" s="72"/>
      <c r="C238" s="71"/>
      <c r="D238" s="71"/>
      <c r="E238" s="71"/>
      <c r="F238" s="71"/>
      <c r="G238" s="71"/>
      <c r="H238" s="71"/>
      <c r="I238" s="71"/>
      <c r="J238" s="71"/>
    </row>
    <row r="239" spans="1:10">
      <c r="A239" s="71"/>
      <c r="B239" s="72"/>
      <c r="C239" s="71"/>
      <c r="D239" s="71"/>
      <c r="E239" s="71"/>
      <c r="F239" s="71"/>
      <c r="G239" s="71"/>
      <c r="H239" s="71"/>
      <c r="I239" s="71"/>
      <c r="J239" s="71"/>
    </row>
    <row r="240" spans="1:10">
      <c r="A240" s="71"/>
      <c r="B240" s="72"/>
      <c r="C240" s="71"/>
      <c r="D240" s="71"/>
      <c r="E240" s="71"/>
      <c r="F240" s="71"/>
      <c r="G240" s="71"/>
      <c r="H240" s="71"/>
      <c r="I240" s="71"/>
      <c r="J240" s="71"/>
    </row>
    <row r="241" spans="1:10">
      <c r="A241" s="71"/>
      <c r="B241" s="72"/>
      <c r="C241" s="71"/>
      <c r="D241" s="71"/>
      <c r="E241" s="71"/>
      <c r="F241" s="71"/>
      <c r="G241" s="71"/>
      <c r="H241" s="71"/>
      <c r="I241" s="71"/>
      <c r="J241" s="71"/>
    </row>
    <row r="242" spans="1:10">
      <c r="A242" s="71"/>
      <c r="B242" s="72"/>
      <c r="C242" s="71"/>
      <c r="D242" s="71"/>
      <c r="E242" s="71"/>
      <c r="F242" s="71"/>
      <c r="G242" s="71"/>
      <c r="H242" s="71"/>
      <c r="I242" s="71"/>
      <c r="J242" s="71"/>
    </row>
    <row r="243" spans="1:10">
      <c r="A243" s="71"/>
      <c r="B243" s="72"/>
      <c r="C243" s="71"/>
      <c r="D243" s="71"/>
      <c r="E243" s="71"/>
      <c r="F243" s="71"/>
      <c r="G243" s="71"/>
      <c r="H243" s="71"/>
      <c r="I243" s="71"/>
      <c r="J243" s="71"/>
    </row>
    <row r="244" spans="1:10">
      <c r="A244" s="71"/>
      <c r="B244" s="72"/>
      <c r="C244" s="71"/>
      <c r="D244" s="71"/>
      <c r="E244" s="71"/>
      <c r="F244" s="71"/>
      <c r="G244" s="71"/>
      <c r="H244" s="71"/>
      <c r="I244" s="71"/>
      <c r="J244" s="71"/>
    </row>
    <row r="245" spans="1:10">
      <c r="A245" s="71"/>
      <c r="B245" s="72"/>
      <c r="C245" s="71"/>
      <c r="D245" s="71"/>
      <c r="E245" s="71"/>
      <c r="F245" s="71"/>
      <c r="G245" s="71"/>
      <c r="H245" s="71"/>
      <c r="I245" s="71"/>
      <c r="J245" s="71"/>
    </row>
    <row r="246" spans="1:10">
      <c r="A246" s="71"/>
      <c r="B246" s="72"/>
      <c r="C246" s="71"/>
      <c r="D246" s="71"/>
      <c r="E246" s="71"/>
      <c r="F246" s="71"/>
      <c r="G246" s="71"/>
      <c r="H246" s="71"/>
      <c r="I246" s="71"/>
      <c r="J246" s="71"/>
    </row>
    <row r="247" spans="1:10">
      <c r="A247" s="71"/>
      <c r="B247" s="72"/>
      <c r="C247" s="71"/>
      <c r="D247" s="71"/>
      <c r="E247" s="71"/>
      <c r="F247" s="71"/>
      <c r="G247" s="71"/>
      <c r="H247" s="71"/>
      <c r="I247" s="71"/>
      <c r="J247" s="71"/>
    </row>
    <row r="248" spans="1:10">
      <c r="A248" s="71"/>
      <c r="B248" s="72"/>
      <c r="C248" s="71"/>
      <c r="D248" s="71"/>
      <c r="E248" s="71"/>
      <c r="F248" s="71"/>
      <c r="G248" s="71"/>
      <c r="H248" s="71"/>
      <c r="I248" s="71"/>
      <c r="J248" s="71"/>
    </row>
    <row r="249" spans="1:10">
      <c r="A249" s="71"/>
      <c r="B249" s="72"/>
      <c r="C249" s="71"/>
      <c r="D249" s="71"/>
      <c r="E249" s="71"/>
      <c r="F249" s="71"/>
      <c r="G249" s="71"/>
      <c r="H249" s="71"/>
      <c r="I249" s="71"/>
      <c r="J249" s="71"/>
    </row>
    <row r="250" spans="1:10">
      <c r="A250" s="71"/>
      <c r="B250" s="72"/>
      <c r="C250" s="71"/>
      <c r="D250" s="71"/>
      <c r="E250" s="71"/>
      <c r="F250" s="71"/>
      <c r="G250" s="71"/>
      <c r="H250" s="71"/>
      <c r="I250" s="71"/>
      <c r="J250" s="71"/>
    </row>
    <row r="251" spans="1:10">
      <c r="A251" s="71"/>
      <c r="B251" s="72"/>
      <c r="C251" s="71"/>
      <c r="D251" s="71"/>
      <c r="E251" s="71"/>
      <c r="F251" s="71"/>
      <c r="G251" s="71"/>
      <c r="H251" s="71"/>
      <c r="I251" s="71"/>
      <c r="J251" s="71"/>
    </row>
    <row r="252" spans="1:10">
      <c r="A252" s="71"/>
      <c r="B252" s="72"/>
      <c r="C252" s="71"/>
      <c r="D252" s="71"/>
      <c r="E252" s="71"/>
      <c r="F252" s="71"/>
      <c r="G252" s="71"/>
      <c r="H252" s="71"/>
      <c r="I252" s="71"/>
      <c r="J252" s="71"/>
    </row>
    <row r="253" spans="1:10">
      <c r="A253" s="71"/>
      <c r="B253" s="72"/>
      <c r="C253" s="71"/>
      <c r="D253" s="71"/>
      <c r="E253" s="71"/>
      <c r="F253" s="71"/>
      <c r="G253" s="71"/>
      <c r="H253" s="71"/>
      <c r="I253" s="71"/>
      <c r="J253" s="71"/>
    </row>
    <row r="254" spans="1:10">
      <c r="A254" s="71"/>
      <c r="B254" s="72"/>
      <c r="C254" s="71"/>
      <c r="D254" s="71"/>
      <c r="E254" s="71"/>
      <c r="F254" s="71"/>
      <c r="G254" s="71"/>
      <c r="H254" s="71"/>
      <c r="I254" s="71"/>
      <c r="J254" s="71"/>
    </row>
    <row r="255" spans="1:10">
      <c r="A255" s="71"/>
      <c r="B255" s="72"/>
      <c r="C255" s="71"/>
      <c r="D255" s="71"/>
      <c r="E255" s="71"/>
      <c r="F255" s="71"/>
      <c r="G255" s="71"/>
      <c r="H255" s="71"/>
      <c r="I255" s="71"/>
      <c r="J255" s="71"/>
    </row>
    <row r="256" spans="1:10">
      <c r="A256" s="71"/>
      <c r="B256" s="72"/>
      <c r="C256" s="71"/>
      <c r="D256" s="71"/>
      <c r="E256" s="71"/>
      <c r="F256" s="71"/>
      <c r="G256" s="71"/>
      <c r="H256" s="71"/>
      <c r="I256" s="71"/>
      <c r="J256" s="71"/>
    </row>
    <row r="257" spans="1:10">
      <c r="A257" s="71"/>
      <c r="B257" s="72"/>
      <c r="C257" s="71"/>
      <c r="D257" s="71"/>
      <c r="E257" s="71"/>
      <c r="F257" s="71"/>
      <c r="G257" s="71"/>
      <c r="H257" s="71"/>
      <c r="I257" s="71"/>
      <c r="J257" s="71"/>
    </row>
    <row r="258" spans="1:10">
      <c r="A258" s="71"/>
      <c r="B258" s="72"/>
      <c r="C258" s="71"/>
      <c r="D258" s="71"/>
      <c r="E258" s="71"/>
      <c r="F258" s="71"/>
      <c r="G258" s="71"/>
      <c r="H258" s="71"/>
      <c r="I258" s="71"/>
      <c r="J258" s="71"/>
    </row>
    <row r="259" spans="1:10">
      <c r="A259" s="71"/>
      <c r="B259" s="72"/>
      <c r="C259" s="71"/>
      <c r="D259" s="71"/>
      <c r="E259" s="71"/>
      <c r="F259" s="71"/>
      <c r="G259" s="71"/>
      <c r="H259" s="71"/>
      <c r="I259" s="71"/>
      <c r="J259" s="71"/>
    </row>
    <row r="260" spans="1:10">
      <c r="A260" s="71"/>
      <c r="B260" s="72"/>
      <c r="C260" s="71"/>
      <c r="D260" s="71"/>
      <c r="E260" s="71"/>
      <c r="F260" s="71"/>
      <c r="G260" s="71"/>
      <c r="H260" s="71"/>
      <c r="I260" s="71"/>
      <c r="J260" s="71"/>
    </row>
    <row r="261" spans="1:10">
      <c r="A261" s="71"/>
      <c r="B261" s="72"/>
      <c r="C261" s="71"/>
      <c r="D261" s="71"/>
      <c r="E261" s="71"/>
      <c r="F261" s="71"/>
      <c r="G261" s="71"/>
      <c r="H261" s="71"/>
      <c r="I261" s="71"/>
      <c r="J261" s="71"/>
    </row>
    <row r="262" spans="1:10">
      <c r="A262" s="71"/>
      <c r="B262" s="72"/>
      <c r="C262" s="71"/>
      <c r="D262" s="71"/>
      <c r="E262" s="71"/>
      <c r="F262" s="71"/>
      <c r="G262" s="71"/>
      <c r="H262" s="71"/>
      <c r="I262" s="71"/>
      <c r="J262" s="71"/>
    </row>
    <row r="263" spans="1:10">
      <c r="A263" s="71"/>
      <c r="B263" s="72"/>
      <c r="C263" s="71"/>
      <c r="D263" s="71"/>
      <c r="E263" s="71"/>
      <c r="F263" s="71"/>
      <c r="G263" s="71"/>
      <c r="H263" s="71"/>
      <c r="I263" s="71"/>
      <c r="J263" s="71"/>
    </row>
    <row r="264" spans="1:10">
      <c r="A264" s="71"/>
      <c r="B264" s="72"/>
      <c r="C264" s="71"/>
      <c r="D264" s="71"/>
      <c r="E264" s="71"/>
      <c r="F264" s="71"/>
      <c r="G264" s="71"/>
      <c r="H264" s="71"/>
      <c r="I264" s="71"/>
      <c r="J264" s="71"/>
    </row>
    <row r="265" spans="1:10">
      <c r="A265" s="71"/>
      <c r="B265" s="72"/>
      <c r="C265" s="71"/>
      <c r="D265" s="71"/>
      <c r="E265" s="71"/>
      <c r="F265" s="71"/>
      <c r="G265" s="71"/>
      <c r="H265" s="71"/>
      <c r="I265" s="71"/>
      <c r="J265" s="71"/>
    </row>
    <row r="266" spans="1:10">
      <c r="A266" s="71"/>
      <c r="B266" s="72"/>
      <c r="C266" s="71"/>
      <c r="D266" s="71"/>
      <c r="E266" s="71"/>
      <c r="F266" s="71"/>
      <c r="G266" s="71"/>
      <c r="H266" s="71"/>
      <c r="I266" s="71"/>
      <c r="J266" s="71"/>
    </row>
    <row r="267" spans="1:10">
      <c r="A267" s="71"/>
      <c r="B267" s="72"/>
      <c r="C267" s="71"/>
      <c r="D267" s="71"/>
      <c r="E267" s="71"/>
      <c r="F267" s="71"/>
      <c r="G267" s="71"/>
      <c r="H267" s="71"/>
      <c r="I267" s="71"/>
      <c r="J267" s="71"/>
    </row>
    <row r="268" spans="1:10">
      <c r="A268" s="71"/>
      <c r="B268" s="72"/>
      <c r="C268" s="71"/>
      <c r="D268" s="71"/>
      <c r="E268" s="71"/>
      <c r="F268" s="71"/>
      <c r="G268" s="71"/>
      <c r="H268" s="71"/>
      <c r="I268" s="71"/>
      <c r="J268" s="71"/>
    </row>
    <row r="269" spans="1:10">
      <c r="A269" s="71"/>
      <c r="B269" s="72"/>
      <c r="C269" s="71"/>
      <c r="D269" s="71"/>
      <c r="E269" s="71"/>
      <c r="F269" s="71"/>
      <c r="G269" s="71"/>
      <c r="H269" s="71"/>
      <c r="I269" s="71"/>
      <c r="J269" s="71"/>
    </row>
    <row r="270" spans="1:10">
      <c r="A270" s="71"/>
      <c r="B270" s="72"/>
      <c r="C270" s="71"/>
      <c r="D270" s="71"/>
      <c r="E270" s="71"/>
      <c r="F270" s="71"/>
      <c r="G270" s="71"/>
      <c r="H270" s="71"/>
      <c r="I270" s="71"/>
      <c r="J270" s="71"/>
    </row>
    <row r="271" spans="1:10">
      <c r="A271" s="71"/>
      <c r="B271" s="72"/>
      <c r="C271" s="71"/>
      <c r="D271" s="71"/>
      <c r="E271" s="71"/>
      <c r="F271" s="71"/>
      <c r="G271" s="71"/>
      <c r="H271" s="71"/>
      <c r="I271" s="71"/>
      <c r="J271" s="71"/>
    </row>
    <row r="272" spans="1:10">
      <c r="A272" s="71"/>
      <c r="B272" s="72"/>
      <c r="C272" s="71"/>
      <c r="D272" s="71"/>
      <c r="E272" s="71"/>
      <c r="F272" s="71"/>
      <c r="G272" s="71"/>
      <c r="H272" s="71"/>
      <c r="I272" s="71"/>
      <c r="J272" s="71"/>
    </row>
    <row r="273" spans="1:10">
      <c r="A273" s="71"/>
      <c r="B273" s="72"/>
      <c r="C273" s="71"/>
      <c r="D273" s="71"/>
      <c r="E273" s="71"/>
      <c r="F273" s="71"/>
      <c r="G273" s="71"/>
      <c r="H273" s="71"/>
      <c r="I273" s="71"/>
      <c r="J273" s="71"/>
    </row>
    <row r="274" spans="1:10">
      <c r="A274" s="71"/>
      <c r="B274" s="72"/>
      <c r="C274" s="71"/>
      <c r="D274" s="71"/>
      <c r="E274" s="71"/>
      <c r="F274" s="71"/>
      <c r="G274" s="71"/>
      <c r="H274" s="71"/>
      <c r="I274" s="71"/>
      <c r="J274" s="71"/>
    </row>
    <row r="275" spans="1:10">
      <c r="A275" s="71"/>
      <c r="B275" s="72"/>
      <c r="C275" s="71"/>
      <c r="D275" s="71"/>
      <c r="E275" s="71"/>
      <c r="F275" s="71"/>
      <c r="G275" s="71"/>
      <c r="H275" s="71"/>
      <c r="I275" s="71"/>
      <c r="J275" s="71"/>
    </row>
    <row r="276" spans="1:10">
      <c r="A276" s="71"/>
      <c r="B276" s="72"/>
      <c r="C276" s="71"/>
      <c r="D276" s="71"/>
      <c r="E276" s="71"/>
      <c r="F276" s="71"/>
      <c r="G276" s="71"/>
      <c r="H276" s="71"/>
      <c r="I276" s="71"/>
      <c r="J276" s="71"/>
    </row>
    <row r="277" spans="1:10">
      <c r="A277" s="71"/>
      <c r="B277" s="72"/>
      <c r="C277" s="71"/>
      <c r="D277" s="71"/>
      <c r="E277" s="71"/>
      <c r="F277" s="71"/>
      <c r="G277" s="71"/>
      <c r="H277" s="71"/>
      <c r="I277" s="71"/>
      <c r="J277" s="71"/>
    </row>
    <row r="278" spans="1:10">
      <c r="A278" s="71"/>
      <c r="B278" s="72"/>
      <c r="C278" s="71"/>
      <c r="D278" s="71"/>
      <c r="E278" s="71"/>
      <c r="F278" s="71"/>
      <c r="G278" s="71"/>
      <c r="H278" s="71"/>
      <c r="I278" s="71"/>
      <c r="J278" s="71"/>
    </row>
    <row r="279" spans="1:10">
      <c r="A279" s="71"/>
      <c r="B279" s="72"/>
      <c r="C279" s="71"/>
      <c r="D279" s="71"/>
      <c r="E279" s="71"/>
      <c r="F279" s="71"/>
      <c r="G279" s="71"/>
      <c r="H279" s="71"/>
      <c r="I279" s="71"/>
      <c r="J279" s="71"/>
    </row>
    <row r="280" spans="1:10">
      <c r="A280" s="71"/>
      <c r="B280" s="72"/>
      <c r="C280" s="71"/>
      <c r="D280" s="71"/>
      <c r="E280" s="71"/>
      <c r="F280" s="71"/>
      <c r="G280" s="71"/>
      <c r="H280" s="71"/>
      <c r="I280" s="71"/>
      <c r="J280" s="71"/>
    </row>
    <row r="281" spans="1:10">
      <c r="A281" s="71"/>
      <c r="B281" s="72"/>
      <c r="C281" s="71"/>
      <c r="D281" s="71"/>
      <c r="E281" s="71"/>
      <c r="F281" s="71"/>
      <c r="G281" s="71"/>
      <c r="H281" s="71"/>
      <c r="I281" s="71"/>
      <c r="J281" s="71"/>
    </row>
    <row r="282" spans="1:10">
      <c r="A282" s="71"/>
      <c r="B282" s="72"/>
      <c r="C282" s="71"/>
      <c r="D282" s="71"/>
      <c r="E282" s="71"/>
      <c r="F282" s="71"/>
      <c r="G282" s="71"/>
      <c r="H282" s="71"/>
      <c r="I282" s="71"/>
      <c r="J282" s="71"/>
    </row>
    <row r="283" spans="1:10">
      <c r="A283" s="71"/>
      <c r="B283" s="72"/>
      <c r="C283" s="71"/>
      <c r="D283" s="71"/>
      <c r="E283" s="71"/>
      <c r="F283" s="71"/>
      <c r="G283" s="71"/>
      <c r="H283" s="71"/>
      <c r="I283" s="71"/>
      <c r="J283" s="71"/>
    </row>
    <row r="284" spans="1:10">
      <c r="A284" s="71"/>
      <c r="B284" s="72"/>
      <c r="C284" s="71"/>
      <c r="D284" s="71"/>
      <c r="E284" s="71"/>
      <c r="F284" s="71"/>
      <c r="G284" s="71"/>
      <c r="H284" s="71"/>
      <c r="I284" s="71"/>
      <c r="J284" s="71"/>
    </row>
    <row r="285" spans="1:10">
      <c r="A285" s="71"/>
      <c r="B285" s="72"/>
      <c r="C285" s="71"/>
      <c r="D285" s="71"/>
      <c r="E285" s="71"/>
      <c r="F285" s="71"/>
      <c r="G285" s="71"/>
      <c r="H285" s="71"/>
      <c r="I285" s="71"/>
      <c r="J285" s="71"/>
    </row>
    <row r="286" spans="1:10">
      <c r="A286" s="71"/>
      <c r="B286" s="72"/>
      <c r="C286" s="71"/>
      <c r="D286" s="71"/>
      <c r="E286" s="71"/>
      <c r="F286" s="71"/>
      <c r="G286" s="71"/>
      <c r="H286" s="71"/>
      <c r="I286" s="71"/>
      <c r="J286" s="71"/>
    </row>
    <row r="287" spans="1:10">
      <c r="A287" s="71"/>
      <c r="B287" s="72"/>
      <c r="C287" s="71"/>
      <c r="D287" s="71"/>
      <c r="E287" s="71"/>
      <c r="F287" s="71"/>
      <c r="G287" s="71"/>
      <c r="H287" s="71"/>
      <c r="I287" s="71"/>
      <c r="J287" s="71"/>
    </row>
    <row r="288" spans="1:10">
      <c r="A288" s="71"/>
      <c r="B288" s="72"/>
      <c r="C288" s="71"/>
      <c r="D288" s="71"/>
      <c r="E288" s="71"/>
      <c r="F288" s="71"/>
      <c r="G288" s="71"/>
      <c r="H288" s="71"/>
      <c r="I288" s="71"/>
      <c r="J288" s="71"/>
    </row>
    <row r="289" spans="1:10">
      <c r="A289" s="71"/>
      <c r="B289" s="72"/>
      <c r="C289" s="71"/>
      <c r="D289" s="71"/>
      <c r="E289" s="71"/>
      <c r="F289" s="71"/>
      <c r="G289" s="71"/>
      <c r="H289" s="71"/>
      <c r="I289" s="71"/>
      <c r="J289" s="71"/>
    </row>
    <row r="290" spans="1:10">
      <c r="A290" s="71"/>
      <c r="B290" s="72"/>
      <c r="C290" s="71"/>
      <c r="D290" s="71"/>
      <c r="E290" s="71"/>
      <c r="F290" s="71"/>
      <c r="G290" s="71"/>
      <c r="H290" s="71"/>
      <c r="I290" s="71"/>
      <c r="J290" s="71"/>
    </row>
    <row r="291" spans="1:10">
      <c r="A291" s="71"/>
      <c r="B291" s="72"/>
      <c r="C291" s="71"/>
      <c r="D291" s="71"/>
      <c r="E291" s="71"/>
      <c r="F291" s="71"/>
      <c r="G291" s="71"/>
      <c r="H291" s="71"/>
      <c r="I291" s="71"/>
      <c r="J291" s="71"/>
    </row>
    <row r="292" spans="1:10">
      <c r="A292" s="71"/>
      <c r="B292" s="72"/>
      <c r="C292" s="71"/>
      <c r="D292" s="71"/>
      <c r="E292" s="71"/>
      <c r="F292" s="71"/>
      <c r="G292" s="71"/>
      <c r="H292" s="71"/>
      <c r="I292" s="71"/>
      <c r="J292" s="71"/>
    </row>
    <row r="293" spans="1:10">
      <c r="A293" s="71"/>
      <c r="B293" s="72"/>
      <c r="C293" s="71"/>
      <c r="D293" s="71"/>
      <c r="E293" s="71"/>
      <c r="F293" s="71"/>
      <c r="G293" s="71"/>
      <c r="H293" s="71"/>
      <c r="I293" s="71"/>
      <c r="J293" s="71"/>
    </row>
    <row r="294" spans="1:10">
      <c r="A294" s="71"/>
      <c r="B294" s="72"/>
      <c r="C294" s="71"/>
      <c r="D294" s="71"/>
      <c r="E294" s="71"/>
      <c r="F294" s="71"/>
      <c r="G294" s="71"/>
      <c r="H294" s="71"/>
      <c r="I294" s="71"/>
      <c r="J294" s="71"/>
    </row>
    <row r="295" spans="1:10">
      <c r="A295" s="71"/>
      <c r="B295" s="72"/>
      <c r="C295" s="71"/>
      <c r="D295" s="71"/>
      <c r="E295" s="71"/>
      <c r="F295" s="71"/>
      <c r="G295" s="71"/>
      <c r="H295" s="71"/>
      <c r="I295" s="71"/>
      <c r="J295" s="71"/>
    </row>
    <row r="296" spans="1:10">
      <c r="A296" s="71"/>
      <c r="B296" s="72"/>
      <c r="C296" s="71"/>
      <c r="D296" s="71"/>
      <c r="E296" s="71"/>
      <c r="F296" s="71"/>
      <c r="G296" s="71"/>
      <c r="H296" s="71"/>
      <c r="I296" s="71"/>
      <c r="J296" s="71"/>
    </row>
    <row r="297" spans="1:10">
      <c r="A297" s="71"/>
      <c r="B297" s="72"/>
      <c r="C297" s="71"/>
      <c r="D297" s="71"/>
      <c r="E297" s="71"/>
      <c r="F297" s="71"/>
      <c r="G297" s="71"/>
      <c r="H297" s="71"/>
      <c r="I297" s="71"/>
      <c r="J297" s="71"/>
    </row>
    <row r="298" spans="1:10">
      <c r="A298" s="71"/>
      <c r="B298" s="72"/>
      <c r="C298" s="71"/>
      <c r="D298" s="71"/>
      <c r="E298" s="71"/>
      <c r="F298" s="71"/>
      <c r="G298" s="71"/>
      <c r="H298" s="71"/>
      <c r="I298" s="71"/>
      <c r="J298" s="71"/>
    </row>
    <row r="299" spans="1:10">
      <c r="A299" s="71"/>
      <c r="B299" s="72"/>
      <c r="C299" s="71"/>
      <c r="D299" s="71"/>
      <c r="E299" s="71"/>
      <c r="F299" s="71"/>
      <c r="G299" s="71"/>
      <c r="H299" s="71"/>
      <c r="I299" s="71"/>
      <c r="J299" s="71"/>
    </row>
    <row r="300" spans="1:10">
      <c r="A300" s="71"/>
      <c r="B300" s="72"/>
      <c r="C300" s="71"/>
      <c r="D300" s="71"/>
      <c r="E300" s="71"/>
      <c r="F300" s="71"/>
      <c r="G300" s="71"/>
      <c r="H300" s="71"/>
      <c r="I300" s="71"/>
      <c r="J300" s="71"/>
    </row>
    <row r="301" spans="1:10">
      <c r="A301" s="71"/>
      <c r="B301" s="72"/>
      <c r="C301" s="71"/>
      <c r="D301" s="71"/>
      <c r="E301" s="71"/>
      <c r="F301" s="71"/>
      <c r="G301" s="71"/>
      <c r="H301" s="71"/>
      <c r="I301" s="71"/>
      <c r="J301" s="71"/>
    </row>
    <row r="302" spans="1:10">
      <c r="A302" s="71"/>
      <c r="B302" s="72"/>
      <c r="C302" s="71"/>
      <c r="D302" s="71"/>
      <c r="E302" s="71"/>
      <c r="F302" s="71"/>
      <c r="G302" s="71"/>
      <c r="H302" s="71"/>
      <c r="I302" s="71"/>
      <c r="J302" s="71"/>
    </row>
    <row r="303" spans="1:10">
      <c r="A303" s="71"/>
      <c r="B303" s="72"/>
      <c r="C303" s="71"/>
      <c r="D303" s="71"/>
      <c r="E303" s="71"/>
      <c r="F303" s="71"/>
      <c r="G303" s="71"/>
      <c r="H303" s="71"/>
      <c r="I303" s="71"/>
      <c r="J303" s="71"/>
    </row>
    <row r="304" spans="1:10">
      <c r="A304" s="71"/>
      <c r="B304" s="72"/>
      <c r="C304" s="71"/>
      <c r="D304" s="71"/>
      <c r="E304" s="71"/>
      <c r="F304" s="71"/>
      <c r="G304" s="71"/>
      <c r="H304" s="71"/>
      <c r="I304" s="71"/>
      <c r="J304" s="71"/>
    </row>
    <row r="305" spans="1:10">
      <c r="A305" s="71"/>
      <c r="B305" s="72"/>
      <c r="C305" s="71"/>
      <c r="D305" s="71"/>
      <c r="E305" s="71"/>
      <c r="F305" s="71"/>
      <c r="G305" s="71"/>
      <c r="H305" s="71"/>
      <c r="I305" s="71"/>
      <c r="J305" s="71"/>
    </row>
    <row r="306" spans="1:10">
      <c r="A306" s="71"/>
      <c r="B306" s="72"/>
      <c r="C306" s="71"/>
      <c r="D306" s="71"/>
      <c r="E306" s="71"/>
      <c r="F306" s="71"/>
      <c r="G306" s="71"/>
      <c r="H306" s="71"/>
      <c r="I306" s="71"/>
      <c r="J306" s="71"/>
    </row>
    <row r="307" spans="1:10">
      <c r="A307" s="71"/>
      <c r="B307" s="72"/>
      <c r="C307" s="71"/>
      <c r="D307" s="71"/>
      <c r="E307" s="71"/>
      <c r="F307" s="71"/>
      <c r="G307" s="71"/>
      <c r="H307" s="71"/>
      <c r="I307" s="71"/>
      <c r="J307" s="71"/>
    </row>
    <row r="308" spans="1:10">
      <c r="A308" s="71"/>
      <c r="B308" s="72"/>
      <c r="C308" s="71"/>
      <c r="D308" s="71"/>
      <c r="E308" s="71"/>
      <c r="F308" s="71"/>
      <c r="G308" s="71"/>
      <c r="H308" s="71"/>
      <c r="I308" s="71"/>
      <c r="J308" s="71"/>
    </row>
    <row r="309" spans="1:10">
      <c r="A309" s="71"/>
      <c r="B309" s="72"/>
      <c r="C309" s="71"/>
      <c r="D309" s="71"/>
      <c r="E309" s="71"/>
      <c r="F309" s="71"/>
      <c r="G309" s="71"/>
      <c r="H309" s="71"/>
      <c r="I309" s="71"/>
      <c r="J309" s="71"/>
    </row>
    <row r="310" spans="1:10">
      <c r="A310" s="71"/>
      <c r="B310" s="72"/>
      <c r="C310" s="71"/>
      <c r="D310" s="71"/>
      <c r="E310" s="71"/>
      <c r="F310" s="71"/>
      <c r="G310" s="71"/>
      <c r="H310" s="71"/>
      <c r="I310" s="71"/>
      <c r="J310" s="71"/>
    </row>
    <row r="311" spans="1:10">
      <c r="A311" s="71"/>
      <c r="B311" s="72"/>
      <c r="C311" s="71"/>
      <c r="D311" s="71"/>
      <c r="E311" s="71"/>
      <c r="F311" s="71"/>
      <c r="G311" s="71"/>
      <c r="H311" s="71"/>
      <c r="I311" s="71"/>
      <c r="J311" s="71"/>
    </row>
    <row r="312" spans="1:10">
      <c r="A312" s="71"/>
      <c r="B312" s="72"/>
      <c r="C312" s="71"/>
      <c r="D312" s="71"/>
      <c r="E312" s="71"/>
      <c r="F312" s="71"/>
      <c r="G312" s="71"/>
      <c r="H312" s="71"/>
      <c r="I312" s="71"/>
      <c r="J312" s="71"/>
    </row>
    <row r="313" spans="1:10">
      <c r="A313" s="71"/>
      <c r="B313" s="72"/>
      <c r="C313" s="71"/>
      <c r="D313" s="71"/>
      <c r="E313" s="71"/>
      <c r="F313" s="71"/>
      <c r="G313" s="71"/>
      <c r="H313" s="71"/>
      <c r="I313" s="71"/>
      <c r="J313" s="71"/>
    </row>
    <row r="314" spans="1:10">
      <c r="A314" s="71"/>
      <c r="B314" s="72"/>
      <c r="C314" s="71"/>
      <c r="D314" s="71"/>
      <c r="E314" s="71"/>
      <c r="F314" s="71"/>
      <c r="G314" s="71"/>
      <c r="H314" s="71"/>
      <c r="I314" s="71"/>
      <c r="J314" s="71"/>
    </row>
    <row r="315" spans="1:10">
      <c r="A315" s="71"/>
      <c r="B315" s="72"/>
      <c r="C315" s="71"/>
      <c r="D315" s="71"/>
      <c r="E315" s="71"/>
      <c r="F315" s="71"/>
      <c r="G315" s="71"/>
      <c r="H315" s="71"/>
      <c r="I315" s="71"/>
      <c r="J315" s="71"/>
    </row>
    <row r="316" spans="1:10">
      <c r="A316" s="71"/>
      <c r="B316" s="72"/>
      <c r="C316" s="71"/>
      <c r="D316" s="71"/>
      <c r="E316" s="71"/>
      <c r="F316" s="71"/>
      <c r="G316" s="71"/>
      <c r="H316" s="71"/>
      <c r="I316" s="71"/>
      <c r="J316" s="71"/>
    </row>
    <row r="317" spans="1:10">
      <c r="A317" s="71"/>
      <c r="B317" s="72"/>
      <c r="C317" s="71"/>
      <c r="D317" s="71"/>
      <c r="E317" s="71"/>
      <c r="F317" s="71"/>
      <c r="G317" s="71"/>
      <c r="H317" s="71"/>
      <c r="I317" s="71"/>
      <c r="J317" s="71"/>
    </row>
    <row r="318" spans="1:10">
      <c r="A318" s="71"/>
      <c r="B318" s="72"/>
      <c r="C318" s="71"/>
      <c r="D318" s="71"/>
      <c r="E318" s="71"/>
      <c r="F318" s="71"/>
      <c r="G318" s="71"/>
      <c r="H318" s="71"/>
      <c r="I318" s="71"/>
      <c r="J318" s="71"/>
    </row>
    <row r="319" spans="1:10">
      <c r="A319" s="71"/>
      <c r="B319" s="72"/>
      <c r="C319" s="71"/>
      <c r="D319" s="71"/>
      <c r="E319" s="71"/>
      <c r="F319" s="71"/>
      <c r="G319" s="71"/>
      <c r="H319" s="71"/>
      <c r="I319" s="71"/>
      <c r="J319" s="71"/>
    </row>
    <row r="320" spans="1:10">
      <c r="A320" s="71"/>
      <c r="B320" s="72"/>
      <c r="C320" s="71"/>
      <c r="D320" s="71"/>
      <c r="E320" s="71"/>
      <c r="F320" s="71"/>
      <c r="G320" s="71"/>
      <c r="H320" s="71"/>
      <c r="I320" s="71"/>
      <c r="J320" s="71"/>
    </row>
    <row r="321" spans="1:10">
      <c r="A321" s="71"/>
      <c r="B321" s="72"/>
      <c r="C321" s="71"/>
      <c r="D321" s="71"/>
      <c r="E321" s="71"/>
      <c r="F321" s="71"/>
      <c r="G321" s="71"/>
      <c r="H321" s="71"/>
      <c r="I321" s="71"/>
      <c r="J321" s="71"/>
    </row>
    <row r="322" spans="1:10">
      <c r="A322" s="71"/>
      <c r="B322" s="72"/>
      <c r="C322" s="71"/>
      <c r="D322" s="71"/>
      <c r="E322" s="71"/>
      <c r="F322" s="71"/>
      <c r="G322" s="71"/>
      <c r="H322" s="71"/>
      <c r="I322" s="71"/>
      <c r="J322" s="71"/>
    </row>
    <row r="323" spans="1:10">
      <c r="A323" s="71"/>
      <c r="B323" s="72"/>
      <c r="C323" s="71"/>
      <c r="D323" s="71"/>
      <c r="E323" s="71"/>
      <c r="F323" s="71"/>
      <c r="G323" s="71"/>
      <c r="H323" s="71"/>
      <c r="I323" s="71"/>
      <c r="J323" s="71"/>
    </row>
    <row r="324" spans="1:10">
      <c r="A324" s="71"/>
      <c r="B324" s="72"/>
      <c r="C324" s="71"/>
      <c r="D324" s="71"/>
      <c r="E324" s="71"/>
      <c r="F324" s="71"/>
      <c r="G324" s="71"/>
      <c r="H324" s="71"/>
      <c r="I324" s="71"/>
      <c r="J324" s="71"/>
    </row>
    <row r="325" spans="1:10">
      <c r="A325" s="71"/>
      <c r="B325" s="72"/>
      <c r="C325" s="71"/>
      <c r="D325" s="71"/>
      <c r="E325" s="71"/>
      <c r="F325" s="71"/>
      <c r="G325" s="71"/>
      <c r="H325" s="71"/>
      <c r="I325" s="71"/>
      <c r="J325" s="71"/>
    </row>
    <row r="326" spans="1:10">
      <c r="A326" s="71"/>
      <c r="B326" s="72"/>
      <c r="C326" s="71"/>
      <c r="D326" s="71"/>
      <c r="E326" s="71"/>
      <c r="F326" s="71"/>
      <c r="G326" s="71"/>
      <c r="H326" s="71"/>
      <c r="I326" s="71"/>
      <c r="J326" s="71"/>
    </row>
    <row r="327" spans="1:10">
      <c r="A327" s="71"/>
      <c r="B327" s="72"/>
      <c r="C327" s="71"/>
      <c r="D327" s="71"/>
      <c r="E327" s="71"/>
      <c r="F327" s="71"/>
      <c r="G327" s="71"/>
      <c r="H327" s="71"/>
      <c r="I327" s="71"/>
      <c r="J327" s="71"/>
    </row>
    <row r="328" spans="1:10">
      <c r="A328" s="71"/>
      <c r="B328" s="72"/>
      <c r="C328" s="71"/>
      <c r="D328" s="71"/>
      <c r="E328" s="71"/>
      <c r="F328" s="71"/>
      <c r="G328" s="71"/>
      <c r="H328" s="71"/>
      <c r="I328" s="71"/>
      <c r="J328" s="71"/>
    </row>
    <row r="329" spans="1:10">
      <c r="A329" s="71"/>
      <c r="B329" s="72"/>
      <c r="C329" s="71"/>
      <c r="D329" s="71"/>
      <c r="E329" s="71"/>
      <c r="F329" s="71"/>
      <c r="G329" s="71"/>
      <c r="H329" s="71"/>
      <c r="I329" s="71"/>
      <c r="J329" s="71"/>
    </row>
    <row r="330" spans="1:10">
      <c r="A330" s="71"/>
      <c r="B330" s="72"/>
      <c r="C330" s="71"/>
      <c r="D330" s="71"/>
      <c r="E330" s="71"/>
      <c r="F330" s="71"/>
      <c r="G330" s="71"/>
      <c r="H330" s="71"/>
      <c r="I330" s="71"/>
      <c r="J330" s="71"/>
    </row>
    <row r="331" spans="1:10">
      <c r="A331" s="71"/>
      <c r="B331" s="72"/>
      <c r="C331" s="71"/>
      <c r="D331" s="71"/>
      <c r="E331" s="71"/>
      <c r="F331" s="71"/>
      <c r="G331" s="71"/>
      <c r="H331" s="71"/>
      <c r="I331" s="71"/>
      <c r="J331" s="71"/>
    </row>
    <row r="332" spans="1:10">
      <c r="A332" s="71"/>
      <c r="B332" s="72"/>
      <c r="C332" s="71"/>
      <c r="D332" s="71"/>
      <c r="E332" s="71"/>
      <c r="F332" s="71"/>
      <c r="G332" s="71"/>
      <c r="H332" s="71"/>
      <c r="I332" s="71"/>
      <c r="J332" s="71"/>
    </row>
    <row r="333" spans="1:10">
      <c r="A333" s="71"/>
      <c r="B333" s="72"/>
      <c r="C333" s="71"/>
      <c r="D333" s="71"/>
      <c r="E333" s="71"/>
      <c r="F333" s="71"/>
      <c r="G333" s="71"/>
      <c r="H333" s="71"/>
      <c r="I333" s="71"/>
      <c r="J333" s="71"/>
    </row>
    <row r="334" spans="1:10">
      <c r="A334" s="71"/>
      <c r="B334" s="72"/>
      <c r="C334" s="71"/>
      <c r="D334" s="71"/>
      <c r="E334" s="71"/>
      <c r="F334" s="71"/>
      <c r="G334" s="71"/>
      <c r="H334" s="71"/>
      <c r="I334" s="71"/>
      <c r="J334" s="71"/>
    </row>
    <row r="335" spans="1:10">
      <c r="A335" s="71"/>
      <c r="B335" s="72"/>
      <c r="C335" s="71"/>
      <c r="D335" s="71"/>
      <c r="E335" s="71"/>
      <c r="F335" s="71"/>
      <c r="G335" s="71"/>
      <c r="H335" s="71"/>
      <c r="I335" s="71"/>
      <c r="J335" s="71"/>
    </row>
    <row r="336" spans="1:10">
      <c r="A336" s="71"/>
      <c r="B336" s="72"/>
      <c r="C336" s="71"/>
      <c r="D336" s="71"/>
      <c r="E336" s="71"/>
      <c r="F336" s="71"/>
      <c r="G336" s="71"/>
      <c r="H336" s="71"/>
      <c r="I336" s="71"/>
      <c r="J336" s="71"/>
    </row>
    <row r="337" spans="1:10">
      <c r="A337" s="71"/>
      <c r="B337" s="72"/>
      <c r="C337" s="71"/>
      <c r="D337" s="71"/>
      <c r="E337" s="71"/>
      <c r="F337" s="71"/>
      <c r="G337" s="71"/>
      <c r="H337" s="71"/>
      <c r="I337" s="71"/>
      <c r="J337" s="71"/>
    </row>
    <row r="338" spans="1:10">
      <c r="A338" s="71"/>
      <c r="B338" s="72"/>
      <c r="C338" s="71"/>
      <c r="D338" s="71"/>
      <c r="E338" s="71"/>
      <c r="F338" s="71"/>
      <c r="G338" s="71"/>
      <c r="H338" s="71"/>
      <c r="I338" s="71"/>
      <c r="J338" s="71"/>
    </row>
    <row r="339" spans="1:10">
      <c r="A339" s="71"/>
      <c r="B339" s="72"/>
      <c r="C339" s="71"/>
      <c r="D339" s="71"/>
      <c r="E339" s="71"/>
      <c r="F339" s="71"/>
      <c r="G339" s="71"/>
      <c r="H339" s="71"/>
      <c r="I339" s="71"/>
      <c r="J339" s="71"/>
    </row>
    <row r="340" spans="1:10">
      <c r="A340" s="71"/>
      <c r="B340" s="72"/>
      <c r="C340" s="71"/>
      <c r="D340" s="71"/>
      <c r="E340" s="71"/>
      <c r="F340" s="71"/>
      <c r="G340" s="71"/>
      <c r="H340" s="71"/>
      <c r="I340" s="71"/>
      <c r="J340" s="71"/>
    </row>
    <row r="341" spans="1:10">
      <c r="A341" s="71"/>
      <c r="B341" s="72"/>
      <c r="C341" s="71"/>
      <c r="D341" s="71"/>
      <c r="E341" s="71"/>
      <c r="F341" s="71"/>
      <c r="G341" s="71"/>
      <c r="H341" s="71"/>
      <c r="I341" s="71"/>
      <c r="J341" s="71"/>
    </row>
    <row r="342" spans="1:10">
      <c r="A342" s="71"/>
      <c r="B342" s="72"/>
      <c r="C342" s="71"/>
      <c r="D342" s="71"/>
      <c r="E342" s="71"/>
      <c r="F342" s="71"/>
      <c r="G342" s="71"/>
      <c r="H342" s="71"/>
      <c r="I342" s="71"/>
      <c r="J342" s="71"/>
    </row>
    <row r="343" spans="1:10">
      <c r="A343" s="71"/>
      <c r="B343" s="72"/>
      <c r="C343" s="71"/>
      <c r="D343" s="71"/>
      <c r="E343" s="71"/>
      <c r="F343" s="71"/>
      <c r="G343" s="71"/>
      <c r="H343" s="71"/>
      <c r="I343" s="71"/>
      <c r="J343" s="71"/>
    </row>
    <row r="344" spans="1:10">
      <c r="A344" s="71"/>
      <c r="B344" s="72"/>
      <c r="C344" s="71"/>
      <c r="D344" s="71"/>
      <c r="E344" s="71"/>
      <c r="F344" s="71"/>
      <c r="G344" s="71"/>
      <c r="H344" s="71"/>
      <c r="I344" s="71"/>
      <c r="J344" s="71"/>
    </row>
    <row r="345" spans="1:10">
      <c r="A345" s="71"/>
      <c r="B345" s="72"/>
      <c r="C345" s="71"/>
      <c r="D345" s="71"/>
      <c r="E345" s="71"/>
      <c r="F345" s="71"/>
      <c r="G345" s="71"/>
      <c r="H345" s="71"/>
      <c r="I345" s="71"/>
      <c r="J345" s="71"/>
    </row>
    <row r="346" spans="1:10">
      <c r="A346" s="71"/>
      <c r="B346" s="72"/>
      <c r="C346" s="71"/>
      <c r="D346" s="71"/>
      <c r="E346" s="71"/>
      <c r="F346" s="71"/>
      <c r="G346" s="71"/>
      <c r="H346" s="71"/>
      <c r="I346" s="71"/>
      <c r="J346" s="71"/>
    </row>
    <row r="347" spans="1:10">
      <c r="A347" s="71"/>
      <c r="B347" s="72"/>
      <c r="C347" s="71"/>
      <c r="D347" s="71"/>
      <c r="E347" s="71"/>
      <c r="F347" s="71"/>
      <c r="G347" s="71"/>
      <c r="H347" s="71"/>
      <c r="I347" s="71"/>
      <c r="J347" s="71"/>
    </row>
    <row r="348" spans="1:10">
      <c r="A348" s="71"/>
      <c r="B348" s="72"/>
      <c r="C348" s="71"/>
      <c r="D348" s="71"/>
      <c r="E348" s="71"/>
      <c r="F348" s="71"/>
      <c r="G348" s="71"/>
      <c r="H348" s="71"/>
      <c r="I348" s="71"/>
      <c r="J348" s="71"/>
    </row>
    <row r="349" spans="1:10">
      <c r="A349" s="71"/>
      <c r="B349" s="72"/>
      <c r="C349" s="71"/>
      <c r="D349" s="71"/>
      <c r="E349" s="71"/>
      <c r="F349" s="71"/>
      <c r="G349" s="71"/>
      <c r="H349" s="71"/>
      <c r="I349" s="71"/>
      <c r="J349" s="71"/>
    </row>
    <row r="350" spans="1:10">
      <c r="A350" s="71"/>
      <c r="B350" s="72"/>
      <c r="C350" s="71"/>
      <c r="D350" s="71"/>
      <c r="E350" s="71"/>
      <c r="F350" s="71"/>
      <c r="G350" s="71"/>
      <c r="H350" s="71"/>
      <c r="I350" s="71"/>
      <c r="J350" s="71"/>
    </row>
    <row r="351" spans="1:10">
      <c r="A351" s="71"/>
      <c r="B351" s="72"/>
      <c r="C351" s="71"/>
      <c r="D351" s="71"/>
      <c r="E351" s="71"/>
      <c r="F351" s="71"/>
      <c r="G351" s="71"/>
      <c r="H351" s="71"/>
      <c r="I351" s="71"/>
      <c r="J351" s="71"/>
    </row>
    <row r="352" spans="1:10">
      <c r="A352" s="71"/>
      <c r="B352" s="72"/>
      <c r="C352" s="71"/>
      <c r="D352" s="71"/>
      <c r="E352" s="71"/>
      <c r="F352" s="71"/>
      <c r="G352" s="71"/>
      <c r="H352" s="71"/>
      <c r="I352" s="71"/>
      <c r="J352" s="71"/>
    </row>
    <row r="353" spans="1:10">
      <c r="A353" s="71"/>
      <c r="B353" s="72"/>
      <c r="C353" s="71"/>
      <c r="D353" s="71"/>
      <c r="E353" s="71"/>
      <c r="F353" s="71"/>
      <c r="G353" s="71"/>
      <c r="H353" s="71"/>
      <c r="I353" s="71"/>
      <c r="J353" s="71"/>
    </row>
    <row r="354" spans="1:10">
      <c r="A354" s="71"/>
      <c r="B354" s="72"/>
      <c r="C354" s="71"/>
      <c r="D354" s="71"/>
      <c r="E354" s="71"/>
      <c r="F354" s="71"/>
      <c r="G354" s="71"/>
      <c r="H354" s="71"/>
      <c r="I354" s="71"/>
      <c r="J354" s="71"/>
    </row>
    <row r="355" spans="1:10">
      <c r="A355" s="71"/>
      <c r="B355" s="72"/>
      <c r="C355" s="71"/>
      <c r="D355" s="71"/>
      <c r="E355" s="71"/>
      <c r="F355" s="71"/>
      <c r="G355" s="71"/>
      <c r="H355" s="71"/>
      <c r="I355" s="71"/>
      <c r="J355" s="71"/>
    </row>
    <row r="356" spans="1:10">
      <c r="A356" s="71"/>
      <c r="B356" s="72"/>
      <c r="C356" s="71"/>
      <c r="D356" s="71"/>
      <c r="E356" s="71"/>
      <c r="F356" s="71"/>
      <c r="G356" s="71"/>
      <c r="H356" s="71"/>
      <c r="I356" s="71"/>
      <c r="J356" s="71"/>
    </row>
    <row r="357" spans="1:10">
      <c r="A357" s="71"/>
      <c r="B357" s="72"/>
      <c r="C357" s="71"/>
      <c r="D357" s="71"/>
      <c r="E357" s="71"/>
      <c r="F357" s="71"/>
      <c r="G357" s="71"/>
      <c r="H357" s="71"/>
      <c r="I357" s="71"/>
      <c r="J357" s="71"/>
    </row>
    <row r="358" spans="1:10">
      <c r="A358" s="71"/>
      <c r="B358" s="72"/>
      <c r="C358" s="71"/>
      <c r="D358" s="71"/>
      <c r="E358" s="71"/>
      <c r="F358" s="71"/>
      <c r="G358" s="71"/>
      <c r="H358" s="71"/>
      <c r="I358" s="71"/>
      <c r="J358" s="71"/>
    </row>
    <row r="359" spans="1:10">
      <c r="A359" s="71"/>
      <c r="B359" s="72"/>
      <c r="C359" s="71"/>
      <c r="D359" s="71"/>
      <c r="E359" s="71"/>
      <c r="F359" s="71"/>
      <c r="G359" s="71"/>
      <c r="H359" s="71"/>
      <c r="I359" s="71"/>
      <c r="J359" s="71"/>
    </row>
    <row r="360" spans="1:10">
      <c r="A360" s="71"/>
      <c r="B360" s="72"/>
      <c r="C360" s="71"/>
      <c r="D360" s="71"/>
      <c r="E360" s="71"/>
      <c r="F360" s="71"/>
      <c r="G360" s="71"/>
      <c r="H360" s="71"/>
      <c r="I360" s="71"/>
      <c r="J360" s="71"/>
    </row>
    <row r="361" spans="1:10">
      <c r="A361" s="71"/>
      <c r="B361" s="72"/>
      <c r="C361" s="71"/>
      <c r="D361" s="71"/>
      <c r="E361" s="71"/>
      <c r="F361" s="71"/>
      <c r="G361" s="71"/>
      <c r="H361" s="71"/>
      <c r="I361" s="71"/>
      <c r="J361" s="71"/>
    </row>
    <row r="362" spans="1:10">
      <c r="A362" s="71"/>
      <c r="B362" s="72"/>
      <c r="C362" s="71"/>
      <c r="D362" s="71"/>
      <c r="E362" s="71"/>
      <c r="F362" s="71"/>
      <c r="G362" s="71"/>
      <c r="H362" s="71"/>
      <c r="I362" s="71"/>
      <c r="J362" s="71"/>
    </row>
    <row r="363" spans="1:10">
      <c r="A363" s="71"/>
      <c r="B363" s="72"/>
      <c r="C363" s="71"/>
      <c r="D363" s="71"/>
      <c r="E363" s="71"/>
      <c r="F363" s="71"/>
      <c r="G363" s="71"/>
      <c r="H363" s="71"/>
      <c r="I363" s="71"/>
      <c r="J363" s="71"/>
    </row>
    <row r="364" spans="1:10">
      <c r="A364" s="71"/>
      <c r="B364" s="72"/>
      <c r="C364" s="71"/>
      <c r="D364" s="71"/>
      <c r="E364" s="71"/>
      <c r="F364" s="71"/>
      <c r="G364" s="71"/>
      <c r="H364" s="71"/>
      <c r="I364" s="71"/>
      <c r="J364" s="71"/>
    </row>
    <row r="365" spans="1:10">
      <c r="A365" s="71"/>
      <c r="B365" s="72"/>
      <c r="C365" s="71"/>
      <c r="D365" s="71"/>
      <c r="E365" s="71"/>
      <c r="F365" s="71"/>
      <c r="G365" s="71"/>
      <c r="H365" s="71"/>
      <c r="I365" s="71"/>
      <c r="J365" s="71"/>
    </row>
    <row r="366" spans="1:10">
      <c r="A366" s="71"/>
      <c r="B366" s="72"/>
      <c r="C366" s="71"/>
      <c r="D366" s="71"/>
      <c r="E366" s="71"/>
      <c r="F366" s="71"/>
      <c r="G366" s="71"/>
      <c r="H366" s="71"/>
      <c r="I366" s="71"/>
      <c r="J366" s="71"/>
    </row>
    <row r="367" spans="1:10">
      <c r="A367" s="71"/>
      <c r="B367" s="72"/>
      <c r="C367" s="71"/>
      <c r="D367" s="71"/>
      <c r="E367" s="71"/>
      <c r="F367" s="71"/>
      <c r="G367" s="71"/>
      <c r="H367" s="71"/>
      <c r="I367" s="71"/>
      <c r="J367" s="71"/>
    </row>
    <row r="368" spans="1:10">
      <c r="A368" s="71"/>
      <c r="B368" s="72"/>
      <c r="C368" s="71"/>
      <c r="D368" s="71"/>
      <c r="E368" s="71"/>
      <c r="F368" s="71"/>
      <c r="G368" s="71"/>
      <c r="H368" s="71"/>
      <c r="I368" s="71"/>
      <c r="J368" s="71"/>
    </row>
    <row r="369" spans="1:10">
      <c r="A369" s="71"/>
      <c r="B369" s="72"/>
      <c r="C369" s="71"/>
      <c r="D369" s="71"/>
      <c r="E369" s="71"/>
      <c r="F369" s="71"/>
      <c r="G369" s="71"/>
      <c r="H369" s="71"/>
      <c r="I369" s="71"/>
      <c r="J369" s="71"/>
    </row>
    <row r="370" spans="1:10">
      <c r="A370" s="71"/>
      <c r="B370" s="72"/>
      <c r="C370" s="71"/>
      <c r="D370" s="71"/>
      <c r="E370" s="71"/>
      <c r="F370" s="71"/>
      <c r="G370" s="71"/>
      <c r="H370" s="71"/>
      <c r="I370" s="71"/>
      <c r="J370" s="71"/>
    </row>
    <row r="371" spans="1:10">
      <c r="A371" s="71"/>
      <c r="B371" s="72"/>
      <c r="C371" s="71"/>
      <c r="D371" s="71"/>
      <c r="E371" s="71"/>
      <c r="F371" s="71"/>
      <c r="G371" s="71"/>
      <c r="H371" s="71"/>
      <c r="I371" s="71"/>
      <c r="J371" s="71"/>
    </row>
    <row r="372" spans="1:10">
      <c r="A372" s="71"/>
      <c r="B372" s="72"/>
      <c r="C372" s="71"/>
      <c r="D372" s="71"/>
      <c r="E372" s="71"/>
      <c r="F372" s="71"/>
      <c r="G372" s="71"/>
      <c r="H372" s="71"/>
      <c r="I372" s="71"/>
      <c r="J372" s="71"/>
    </row>
    <row r="373" spans="1:10">
      <c r="A373" s="71"/>
      <c r="B373" s="72"/>
      <c r="C373" s="71"/>
      <c r="D373" s="71"/>
      <c r="E373" s="71"/>
      <c r="F373" s="71"/>
      <c r="G373" s="71"/>
      <c r="H373" s="71"/>
      <c r="I373" s="71"/>
      <c r="J373" s="71"/>
    </row>
    <row r="374" spans="1:10">
      <c r="A374" s="71"/>
      <c r="B374" s="72"/>
      <c r="C374" s="71"/>
      <c r="D374" s="71"/>
      <c r="E374" s="71"/>
      <c r="F374" s="71"/>
      <c r="G374" s="71"/>
      <c r="H374" s="71"/>
      <c r="I374" s="71"/>
      <c r="J374" s="71"/>
    </row>
    <row r="375" spans="1:10">
      <c r="A375" s="71"/>
      <c r="B375" s="72"/>
      <c r="C375" s="71"/>
      <c r="D375" s="71"/>
      <c r="E375" s="71"/>
      <c r="F375" s="71"/>
      <c r="G375" s="71"/>
      <c r="H375" s="71"/>
      <c r="I375" s="71"/>
      <c r="J375" s="71"/>
    </row>
    <row r="376" spans="1:10">
      <c r="A376" s="71"/>
      <c r="B376" s="72"/>
      <c r="C376" s="71"/>
      <c r="D376" s="71"/>
      <c r="E376" s="71"/>
      <c r="F376" s="71"/>
      <c r="G376" s="71"/>
      <c r="H376" s="71"/>
      <c r="I376" s="71"/>
      <c r="J376" s="71"/>
    </row>
    <row r="377" spans="1:10">
      <c r="A377" s="71"/>
      <c r="B377" s="72"/>
      <c r="C377" s="71"/>
      <c r="D377" s="71"/>
      <c r="E377" s="71"/>
      <c r="F377" s="71"/>
      <c r="G377" s="71"/>
      <c r="H377" s="71"/>
      <c r="I377" s="71"/>
      <c r="J377" s="71"/>
    </row>
    <row r="378" spans="1:10">
      <c r="A378" s="71"/>
      <c r="B378" s="72"/>
      <c r="C378" s="71"/>
      <c r="D378" s="71"/>
      <c r="E378" s="71"/>
      <c r="F378" s="71"/>
      <c r="G378" s="71"/>
      <c r="H378" s="71"/>
      <c r="I378" s="71"/>
      <c r="J378" s="71"/>
    </row>
    <row r="379" spans="1:10">
      <c r="A379" s="71"/>
      <c r="B379" s="72"/>
      <c r="C379" s="71"/>
      <c r="D379" s="71"/>
      <c r="E379" s="71"/>
      <c r="F379" s="71"/>
      <c r="G379" s="71"/>
      <c r="H379" s="71"/>
      <c r="I379" s="71"/>
      <c r="J379" s="71"/>
    </row>
    <row r="380" spans="1:10">
      <c r="A380" s="71"/>
      <c r="B380" s="72"/>
      <c r="C380" s="71"/>
      <c r="D380" s="71"/>
      <c r="E380" s="71"/>
      <c r="F380" s="71"/>
      <c r="G380" s="71"/>
      <c r="H380" s="71"/>
      <c r="I380" s="71"/>
      <c r="J380" s="71"/>
    </row>
    <row r="381" spans="1:10">
      <c r="A381" s="71"/>
      <c r="B381" s="72"/>
      <c r="C381" s="71"/>
      <c r="D381" s="71"/>
      <c r="E381" s="71"/>
      <c r="F381" s="71"/>
      <c r="G381" s="71"/>
      <c r="H381" s="71"/>
      <c r="I381" s="71"/>
      <c r="J381" s="71"/>
    </row>
    <row r="382" spans="1:10">
      <c r="A382" s="71"/>
      <c r="B382" s="72"/>
      <c r="C382" s="71"/>
      <c r="D382" s="71"/>
      <c r="E382" s="71"/>
      <c r="F382" s="71"/>
      <c r="G382" s="71"/>
      <c r="H382" s="71"/>
      <c r="I382" s="71"/>
      <c r="J382" s="71"/>
    </row>
    <row r="383" spans="1:10">
      <c r="A383" s="71"/>
      <c r="B383" s="72"/>
      <c r="C383" s="71"/>
      <c r="D383" s="71"/>
      <c r="E383" s="71"/>
      <c r="F383" s="71"/>
      <c r="G383" s="71"/>
      <c r="H383" s="71"/>
      <c r="I383" s="71"/>
      <c r="J383" s="71"/>
    </row>
    <row r="384" spans="1:10">
      <c r="A384" s="71"/>
      <c r="B384" s="72"/>
      <c r="C384" s="71"/>
      <c r="D384" s="71"/>
      <c r="E384" s="71"/>
      <c r="F384" s="71"/>
      <c r="G384" s="71"/>
      <c r="H384" s="71"/>
      <c r="I384" s="71"/>
      <c r="J384" s="71"/>
    </row>
    <row r="385" spans="1:10">
      <c r="A385" s="71"/>
      <c r="B385" s="72"/>
      <c r="C385" s="71"/>
      <c r="D385" s="71"/>
      <c r="E385" s="71"/>
      <c r="F385" s="71"/>
      <c r="G385" s="71"/>
      <c r="H385" s="71"/>
      <c r="I385" s="71"/>
      <c r="J385" s="71"/>
    </row>
    <row r="386" spans="1:10">
      <c r="A386" s="71"/>
      <c r="B386" s="72"/>
      <c r="C386" s="71"/>
      <c r="D386" s="71"/>
      <c r="E386" s="71"/>
      <c r="F386" s="71"/>
      <c r="G386" s="71"/>
      <c r="H386" s="71"/>
      <c r="I386" s="71"/>
      <c r="J386" s="71"/>
    </row>
    <row r="387" spans="1:10">
      <c r="A387" s="71"/>
      <c r="B387" s="72"/>
      <c r="C387" s="71"/>
      <c r="D387" s="71"/>
      <c r="E387" s="71"/>
      <c r="F387" s="71"/>
      <c r="G387" s="71"/>
      <c r="H387" s="71"/>
      <c r="I387" s="71"/>
      <c r="J387" s="71"/>
    </row>
    <row r="388" spans="1:10">
      <c r="A388" s="71"/>
      <c r="B388" s="72"/>
      <c r="C388" s="71"/>
      <c r="D388" s="71"/>
      <c r="E388" s="71"/>
      <c r="F388" s="71"/>
      <c r="G388" s="71"/>
      <c r="H388" s="71"/>
      <c r="I388" s="71"/>
      <c r="J388" s="71"/>
    </row>
    <row r="389" spans="1:10">
      <c r="A389" s="71"/>
      <c r="B389" s="72"/>
      <c r="C389" s="71"/>
      <c r="D389" s="71"/>
      <c r="E389" s="71"/>
      <c r="F389" s="71"/>
      <c r="G389" s="71"/>
      <c r="H389" s="71"/>
      <c r="I389" s="71"/>
      <c r="J389" s="71"/>
    </row>
    <row r="390" spans="1:10">
      <c r="A390" s="71"/>
      <c r="B390" s="72"/>
      <c r="C390" s="71"/>
      <c r="D390" s="71"/>
      <c r="E390" s="71"/>
      <c r="F390" s="71"/>
      <c r="G390" s="71"/>
      <c r="H390" s="71"/>
      <c r="I390" s="71"/>
      <c r="J390" s="71"/>
    </row>
    <row r="391" spans="1:10">
      <c r="A391" s="71"/>
      <c r="B391" s="72"/>
      <c r="C391" s="71"/>
      <c r="D391" s="71"/>
      <c r="E391" s="71"/>
      <c r="F391" s="71"/>
      <c r="G391" s="71"/>
      <c r="H391" s="71"/>
      <c r="I391" s="71"/>
      <c r="J391" s="71"/>
    </row>
    <row r="392" spans="1:10">
      <c r="A392" s="71"/>
      <c r="B392" s="72"/>
      <c r="C392" s="71"/>
      <c r="D392" s="71"/>
      <c r="E392" s="71"/>
      <c r="F392" s="71"/>
      <c r="G392" s="71"/>
      <c r="H392" s="71"/>
      <c r="I392" s="71"/>
      <c r="J392" s="71"/>
    </row>
    <row r="393" spans="1:10">
      <c r="A393" s="71"/>
      <c r="B393" s="72"/>
      <c r="C393" s="71"/>
      <c r="D393" s="71"/>
      <c r="E393" s="71"/>
      <c r="F393" s="71"/>
      <c r="G393" s="71"/>
      <c r="H393" s="71"/>
      <c r="I393" s="71"/>
      <c r="J393" s="71"/>
    </row>
    <row r="394" spans="1:10">
      <c r="A394" s="71"/>
      <c r="B394" s="72"/>
      <c r="C394" s="71"/>
      <c r="D394" s="71"/>
      <c r="E394" s="71"/>
      <c r="F394" s="71"/>
      <c r="G394" s="71"/>
      <c r="H394" s="71"/>
      <c r="I394" s="71"/>
      <c r="J394" s="71"/>
    </row>
    <row r="395" spans="1:10">
      <c r="A395" s="71"/>
      <c r="B395" s="72"/>
      <c r="C395" s="71"/>
      <c r="D395" s="71"/>
      <c r="E395" s="71"/>
      <c r="F395" s="71"/>
      <c r="G395" s="71"/>
      <c r="H395" s="71"/>
      <c r="I395" s="71"/>
      <c r="J395" s="71"/>
    </row>
    <row r="396" spans="1:10">
      <c r="A396" s="71"/>
      <c r="B396" s="72"/>
      <c r="C396" s="71"/>
      <c r="D396" s="71"/>
      <c r="E396" s="71"/>
      <c r="F396" s="71"/>
      <c r="G396" s="71"/>
      <c r="H396" s="71"/>
      <c r="I396" s="71"/>
      <c r="J396" s="71"/>
    </row>
    <row r="397" spans="1:10">
      <c r="A397" s="71"/>
      <c r="B397" s="72"/>
      <c r="C397" s="71"/>
      <c r="D397" s="71"/>
      <c r="E397" s="71"/>
      <c r="F397" s="71"/>
      <c r="G397" s="71"/>
      <c r="H397" s="71"/>
      <c r="I397" s="71"/>
      <c r="J397" s="71"/>
    </row>
    <row r="398" spans="1:10">
      <c r="A398" s="71"/>
      <c r="B398" s="72"/>
      <c r="C398" s="71"/>
      <c r="D398" s="71"/>
      <c r="E398" s="71"/>
      <c r="F398" s="71"/>
      <c r="G398" s="71"/>
      <c r="H398" s="71"/>
      <c r="I398" s="71"/>
      <c r="J398" s="71"/>
    </row>
    <row r="399" spans="1:10">
      <c r="A399" s="71"/>
      <c r="B399" s="72"/>
      <c r="C399" s="71"/>
      <c r="D399" s="71"/>
      <c r="E399" s="71"/>
      <c r="F399" s="71"/>
      <c r="G399" s="71"/>
      <c r="H399" s="71"/>
      <c r="I399" s="71"/>
      <c r="J399" s="71"/>
    </row>
    <row r="400" spans="1:10">
      <c r="A400" s="71"/>
      <c r="B400" s="72"/>
      <c r="C400" s="71"/>
      <c r="D400" s="71"/>
      <c r="E400" s="71"/>
      <c r="F400" s="71"/>
      <c r="G400" s="71"/>
      <c r="H400" s="71"/>
      <c r="I400" s="71"/>
      <c r="J400" s="71"/>
    </row>
    <row r="401" spans="1:10">
      <c r="A401" s="71"/>
      <c r="B401" s="72"/>
      <c r="C401" s="71"/>
      <c r="D401" s="71"/>
      <c r="E401" s="71"/>
      <c r="F401" s="71"/>
      <c r="G401" s="71"/>
      <c r="H401" s="71"/>
      <c r="I401" s="71"/>
      <c r="J401" s="71"/>
    </row>
    <row r="402" spans="1:10">
      <c r="A402" s="71"/>
      <c r="B402" s="72"/>
      <c r="C402" s="71"/>
      <c r="D402" s="71"/>
      <c r="E402" s="71"/>
      <c r="F402" s="71"/>
      <c r="G402" s="71"/>
      <c r="H402" s="71"/>
      <c r="I402" s="71"/>
      <c r="J402" s="71"/>
    </row>
    <row r="403" spans="1:10">
      <c r="A403" s="71"/>
      <c r="B403" s="72"/>
      <c r="C403" s="71"/>
      <c r="D403" s="71"/>
      <c r="E403" s="71"/>
      <c r="F403" s="71"/>
      <c r="G403" s="71"/>
      <c r="H403" s="71"/>
      <c r="I403" s="71"/>
      <c r="J403" s="71"/>
    </row>
    <row r="404" spans="1:10">
      <c r="A404" s="71"/>
      <c r="B404" s="72"/>
      <c r="C404" s="71"/>
      <c r="D404" s="71"/>
      <c r="E404" s="71"/>
      <c r="F404" s="71"/>
      <c r="G404" s="71"/>
      <c r="H404" s="71"/>
      <c r="I404" s="71"/>
      <c r="J404" s="71"/>
    </row>
    <row r="405" spans="1:10">
      <c r="A405" s="71"/>
      <c r="B405" s="72"/>
      <c r="C405" s="71"/>
      <c r="D405" s="71"/>
      <c r="E405" s="71"/>
      <c r="F405" s="71"/>
      <c r="G405" s="71"/>
      <c r="H405" s="71"/>
      <c r="I405" s="71"/>
      <c r="J405" s="71"/>
    </row>
    <row r="406" spans="1:10">
      <c r="A406" s="71"/>
      <c r="B406" s="72"/>
      <c r="C406" s="71"/>
      <c r="D406" s="71"/>
      <c r="E406" s="71"/>
      <c r="F406" s="71"/>
      <c r="G406" s="71"/>
      <c r="H406" s="71"/>
      <c r="I406" s="71"/>
      <c r="J406" s="71"/>
    </row>
    <row r="407" spans="1:10">
      <c r="A407" s="71"/>
      <c r="B407" s="72"/>
      <c r="C407" s="71"/>
      <c r="D407" s="71"/>
      <c r="E407" s="71"/>
      <c r="F407" s="71"/>
      <c r="G407" s="71"/>
      <c r="H407" s="71"/>
      <c r="I407" s="71"/>
      <c r="J407" s="71"/>
    </row>
    <row r="408" spans="1:10">
      <c r="A408" s="71"/>
      <c r="B408" s="72"/>
      <c r="C408" s="71"/>
      <c r="D408" s="71"/>
      <c r="E408" s="71"/>
      <c r="F408" s="71"/>
      <c r="G408" s="71"/>
      <c r="H408" s="71"/>
      <c r="I408" s="71"/>
      <c r="J408" s="71"/>
    </row>
    <row r="409" spans="1:10">
      <c r="A409" s="71"/>
      <c r="B409" s="72"/>
      <c r="C409" s="71"/>
      <c r="D409" s="71"/>
      <c r="E409" s="71"/>
      <c r="F409" s="71"/>
      <c r="G409" s="71"/>
      <c r="H409" s="71"/>
      <c r="I409" s="71"/>
      <c r="J409" s="71"/>
    </row>
    <row r="410" spans="1:10">
      <c r="A410" s="71"/>
      <c r="B410" s="72"/>
      <c r="C410" s="71"/>
      <c r="D410" s="71"/>
      <c r="E410" s="71"/>
      <c r="F410" s="71"/>
      <c r="G410" s="71"/>
      <c r="H410" s="71"/>
      <c r="I410" s="71"/>
      <c r="J410" s="71"/>
    </row>
    <row r="411" spans="1:10">
      <c r="A411" s="71"/>
      <c r="B411" s="72"/>
      <c r="C411" s="71"/>
      <c r="D411" s="71"/>
      <c r="E411" s="71"/>
      <c r="F411" s="71"/>
      <c r="G411" s="71"/>
      <c r="H411" s="71"/>
      <c r="I411" s="71"/>
      <c r="J411" s="71"/>
    </row>
    <row r="412" spans="1:10">
      <c r="A412" s="71"/>
      <c r="B412" s="72"/>
      <c r="C412" s="71"/>
      <c r="D412" s="71"/>
      <c r="E412" s="71"/>
      <c r="F412" s="71"/>
      <c r="G412" s="71"/>
      <c r="H412" s="71"/>
      <c r="I412" s="71"/>
      <c r="J412" s="71"/>
    </row>
    <row r="413" spans="1:10">
      <c r="A413" s="71"/>
      <c r="B413" s="72"/>
      <c r="C413" s="71"/>
      <c r="D413" s="71"/>
      <c r="E413" s="71"/>
      <c r="F413" s="71"/>
      <c r="G413" s="71"/>
      <c r="H413" s="71"/>
      <c r="I413" s="71"/>
      <c r="J413" s="71"/>
    </row>
    <row r="414" spans="1:10">
      <c r="A414" s="71"/>
      <c r="B414" s="72"/>
      <c r="C414" s="71"/>
      <c r="D414" s="71"/>
      <c r="E414" s="71"/>
      <c r="F414" s="71"/>
      <c r="G414" s="71"/>
      <c r="H414" s="71"/>
      <c r="I414" s="71"/>
      <c r="J414" s="71"/>
    </row>
    <row r="415" spans="1:10">
      <c r="A415" s="71"/>
      <c r="B415" s="72"/>
      <c r="C415" s="71"/>
      <c r="D415" s="71"/>
      <c r="E415" s="71"/>
      <c r="F415" s="71"/>
      <c r="G415" s="71"/>
      <c r="H415" s="71"/>
      <c r="I415" s="71"/>
      <c r="J415" s="71"/>
    </row>
    <row r="416" spans="1:10">
      <c r="A416" s="71"/>
      <c r="B416" s="72"/>
      <c r="C416" s="71"/>
      <c r="D416" s="71"/>
      <c r="E416" s="71"/>
      <c r="F416" s="71"/>
      <c r="G416" s="71"/>
      <c r="H416" s="71"/>
      <c r="I416" s="71"/>
      <c r="J416" s="71"/>
    </row>
    <row r="417" spans="1:10">
      <c r="A417" s="71"/>
      <c r="B417" s="72"/>
      <c r="C417" s="71"/>
      <c r="D417" s="71"/>
      <c r="E417" s="71"/>
      <c r="F417" s="71"/>
      <c r="G417" s="71"/>
      <c r="H417" s="71"/>
      <c r="I417" s="71"/>
      <c r="J417" s="71"/>
    </row>
    <row r="418" spans="1:10">
      <c r="A418" s="71"/>
      <c r="B418" s="72"/>
      <c r="C418" s="71"/>
      <c r="D418" s="71"/>
      <c r="E418" s="71"/>
      <c r="F418" s="71"/>
      <c r="G418" s="71"/>
      <c r="H418" s="71"/>
      <c r="I418" s="71"/>
      <c r="J418" s="71"/>
    </row>
    <row r="419" spans="1:10">
      <c r="A419" s="71"/>
      <c r="B419" s="72"/>
      <c r="C419" s="71"/>
      <c r="D419" s="71"/>
      <c r="E419" s="71"/>
      <c r="F419" s="71"/>
      <c r="G419" s="71"/>
      <c r="H419" s="71"/>
      <c r="I419" s="71"/>
      <c r="J419" s="71"/>
    </row>
    <row r="420" spans="1:10">
      <c r="A420" s="71"/>
      <c r="B420" s="72"/>
      <c r="C420" s="71"/>
      <c r="D420" s="71"/>
      <c r="E420" s="71"/>
      <c r="F420" s="71"/>
      <c r="G420" s="71"/>
      <c r="H420" s="71"/>
      <c r="I420" s="71"/>
      <c r="J420" s="71"/>
    </row>
    <row r="421" spans="1:10">
      <c r="A421" s="71"/>
      <c r="B421" s="72"/>
      <c r="C421" s="71"/>
      <c r="D421" s="71"/>
      <c r="E421" s="71"/>
      <c r="F421" s="71"/>
      <c r="G421" s="71"/>
      <c r="H421" s="71"/>
      <c r="I421" s="71"/>
      <c r="J421" s="71"/>
    </row>
    <row r="422" spans="1:10">
      <c r="A422" s="71"/>
      <c r="B422" s="72"/>
      <c r="C422" s="71"/>
      <c r="D422" s="71"/>
      <c r="E422" s="71"/>
      <c r="F422" s="71"/>
      <c r="G422" s="71"/>
      <c r="H422" s="71"/>
      <c r="I422" s="71"/>
      <c r="J422" s="71"/>
    </row>
    <row r="423" spans="1:10">
      <c r="A423" s="71"/>
      <c r="B423" s="72"/>
      <c r="C423" s="71"/>
      <c r="D423" s="71"/>
      <c r="E423" s="71"/>
      <c r="F423" s="71"/>
      <c r="G423" s="71"/>
      <c r="H423" s="71"/>
      <c r="I423" s="71"/>
      <c r="J423" s="71"/>
    </row>
    <row r="424" spans="1:10">
      <c r="A424" s="71"/>
      <c r="B424" s="72"/>
      <c r="C424" s="71"/>
      <c r="D424" s="71"/>
      <c r="E424" s="71"/>
      <c r="F424" s="71"/>
      <c r="G424" s="71"/>
      <c r="H424" s="71"/>
      <c r="I424" s="71"/>
      <c r="J424" s="71"/>
    </row>
    <row r="425" spans="1:10">
      <c r="A425" s="71"/>
      <c r="B425" s="72"/>
      <c r="C425" s="71"/>
      <c r="D425" s="71"/>
      <c r="E425" s="71"/>
      <c r="F425" s="71"/>
      <c r="G425" s="71"/>
      <c r="H425" s="71"/>
      <c r="I425" s="71"/>
      <c r="J425" s="71"/>
    </row>
    <row r="426" spans="1:10">
      <c r="A426" s="71"/>
      <c r="B426" s="72"/>
      <c r="C426" s="71"/>
      <c r="D426" s="71"/>
      <c r="E426" s="71"/>
      <c r="F426" s="71"/>
      <c r="G426" s="71"/>
      <c r="H426" s="71"/>
      <c r="I426" s="71"/>
      <c r="J426" s="71"/>
    </row>
    <row r="427" spans="1:10">
      <c r="A427" s="71"/>
      <c r="B427" s="72"/>
      <c r="C427" s="71"/>
      <c r="D427" s="71"/>
      <c r="E427" s="71"/>
      <c r="F427" s="71"/>
      <c r="G427" s="71"/>
      <c r="H427" s="71"/>
      <c r="I427" s="71"/>
      <c r="J427" s="71"/>
    </row>
    <row r="428" spans="1:10">
      <c r="A428" s="71"/>
      <c r="B428" s="72"/>
      <c r="C428" s="71"/>
      <c r="D428" s="71"/>
      <c r="E428" s="71"/>
      <c r="F428" s="71"/>
      <c r="G428" s="71"/>
      <c r="H428" s="71"/>
      <c r="I428" s="71"/>
      <c r="J428" s="71"/>
    </row>
    <row r="429" spans="1:10">
      <c r="A429" s="71"/>
      <c r="B429" s="72"/>
      <c r="C429" s="71"/>
      <c r="D429" s="71"/>
      <c r="E429" s="71"/>
      <c r="F429" s="71"/>
      <c r="G429" s="71"/>
      <c r="H429" s="71"/>
      <c r="I429" s="71"/>
      <c r="J429" s="71"/>
    </row>
    <row r="430" spans="1:10">
      <c r="A430" s="71"/>
      <c r="B430" s="72"/>
      <c r="C430" s="71"/>
      <c r="D430" s="71"/>
      <c r="E430" s="71"/>
      <c r="F430" s="71"/>
      <c r="G430" s="71"/>
      <c r="H430" s="71"/>
      <c r="I430" s="71"/>
      <c r="J430" s="71"/>
    </row>
    <row r="431" spans="1:10">
      <c r="A431" s="71"/>
      <c r="B431" s="72"/>
      <c r="C431" s="71"/>
      <c r="D431" s="71"/>
      <c r="E431" s="71"/>
      <c r="F431" s="71"/>
      <c r="G431" s="71"/>
      <c r="H431" s="71"/>
      <c r="I431" s="71"/>
      <c r="J431" s="71"/>
    </row>
    <row r="432" spans="1:10">
      <c r="A432" s="71"/>
      <c r="B432" s="72"/>
      <c r="C432" s="71"/>
      <c r="D432" s="71"/>
      <c r="E432" s="71"/>
      <c r="F432" s="71"/>
      <c r="G432" s="71"/>
      <c r="H432" s="71"/>
      <c r="I432" s="71"/>
      <c r="J432" s="71"/>
    </row>
    <row r="433" spans="1:10">
      <c r="A433" s="71"/>
      <c r="B433" s="72"/>
      <c r="C433" s="71"/>
      <c r="D433" s="71"/>
      <c r="E433" s="71"/>
      <c r="F433" s="71"/>
      <c r="G433" s="71"/>
      <c r="H433" s="71"/>
      <c r="I433" s="71"/>
      <c r="J433" s="71"/>
    </row>
    <row r="434" spans="1:10">
      <c r="A434" s="71"/>
      <c r="B434" s="72"/>
      <c r="C434" s="71"/>
      <c r="D434" s="71"/>
      <c r="E434" s="71"/>
      <c r="F434" s="71"/>
      <c r="G434" s="71"/>
      <c r="H434" s="71"/>
      <c r="I434" s="71"/>
      <c r="J434" s="71"/>
    </row>
    <row r="435" spans="1:10">
      <c r="A435" s="71"/>
      <c r="B435" s="72"/>
      <c r="C435" s="71"/>
      <c r="D435" s="71"/>
      <c r="E435" s="71"/>
      <c r="F435" s="71"/>
      <c r="G435" s="71"/>
      <c r="H435" s="71"/>
      <c r="I435" s="71"/>
      <c r="J435" s="71"/>
    </row>
    <row r="436" spans="1:10">
      <c r="A436" s="71"/>
      <c r="B436" s="72"/>
      <c r="C436" s="71"/>
      <c r="D436" s="71"/>
      <c r="E436" s="71"/>
      <c r="F436" s="71"/>
      <c r="G436" s="71"/>
      <c r="H436" s="71"/>
      <c r="I436" s="71"/>
      <c r="J436" s="71"/>
    </row>
    <row r="437" spans="1:10">
      <c r="A437" s="71"/>
      <c r="B437" s="72"/>
      <c r="C437" s="71"/>
      <c r="D437" s="71"/>
      <c r="E437" s="71"/>
      <c r="F437" s="71"/>
      <c r="G437" s="71"/>
      <c r="H437" s="71"/>
      <c r="I437" s="71"/>
      <c r="J437" s="71"/>
    </row>
    <row r="438" spans="1:10">
      <c r="A438" s="71"/>
      <c r="B438" s="72"/>
      <c r="C438" s="71"/>
      <c r="D438" s="71"/>
      <c r="E438" s="71"/>
      <c r="F438" s="71"/>
      <c r="G438" s="71"/>
      <c r="H438" s="71"/>
      <c r="I438" s="71"/>
      <c r="J438" s="71"/>
    </row>
    <row r="439" spans="1:10">
      <c r="A439" s="71"/>
      <c r="B439" s="72"/>
      <c r="C439" s="71"/>
      <c r="D439" s="71"/>
      <c r="E439" s="71"/>
      <c r="F439" s="71"/>
      <c r="G439" s="71"/>
      <c r="H439" s="71"/>
      <c r="I439" s="71"/>
      <c r="J439" s="71"/>
    </row>
    <row r="440" spans="1:10">
      <c r="A440" s="71"/>
      <c r="B440" s="72"/>
      <c r="C440" s="71"/>
      <c r="D440" s="71"/>
      <c r="E440" s="71"/>
      <c r="F440" s="71"/>
      <c r="G440" s="71"/>
      <c r="H440" s="71"/>
      <c r="I440" s="71"/>
      <c r="J440" s="71"/>
    </row>
    <row r="441" spans="1:10">
      <c r="A441" s="71"/>
      <c r="B441" s="72"/>
      <c r="C441" s="71"/>
      <c r="D441" s="71"/>
      <c r="E441" s="71"/>
      <c r="F441" s="71"/>
      <c r="G441" s="71"/>
      <c r="H441" s="71"/>
      <c r="I441" s="71"/>
      <c r="J441" s="71"/>
    </row>
    <row r="442" spans="1:10">
      <c r="A442" s="71"/>
      <c r="B442" s="72"/>
      <c r="C442" s="71"/>
      <c r="D442" s="71"/>
      <c r="E442" s="71"/>
      <c r="F442" s="71"/>
      <c r="G442" s="71"/>
      <c r="H442" s="71"/>
      <c r="I442" s="71"/>
      <c r="J442" s="71"/>
    </row>
    <row r="443" spans="1:10">
      <c r="A443" s="71"/>
      <c r="B443" s="72"/>
      <c r="C443" s="71"/>
      <c r="D443" s="71"/>
      <c r="E443" s="71"/>
      <c r="F443" s="71"/>
      <c r="G443" s="71"/>
      <c r="H443" s="71"/>
      <c r="I443" s="71"/>
      <c r="J443" s="71"/>
    </row>
    <row r="444" spans="1:10">
      <c r="A444" s="71"/>
      <c r="B444" s="72"/>
      <c r="C444" s="71"/>
      <c r="D444" s="71"/>
      <c r="E444" s="71"/>
      <c r="F444" s="71"/>
      <c r="G444" s="71"/>
      <c r="H444" s="71"/>
      <c r="I444" s="71"/>
      <c r="J444" s="71"/>
    </row>
    <row r="445" spans="1:10">
      <c r="A445" s="71"/>
      <c r="B445" s="72"/>
      <c r="C445" s="71"/>
      <c r="D445" s="71"/>
      <c r="E445" s="71"/>
      <c r="F445" s="71"/>
      <c r="G445" s="71"/>
      <c r="H445" s="71"/>
      <c r="I445" s="71"/>
      <c r="J445" s="71"/>
    </row>
    <row r="446" spans="1:10">
      <c r="A446" s="71"/>
      <c r="B446" s="72"/>
      <c r="C446" s="71"/>
      <c r="D446" s="71"/>
      <c r="E446" s="71"/>
      <c r="F446" s="71"/>
      <c r="G446" s="71"/>
      <c r="H446" s="71"/>
      <c r="I446" s="71"/>
      <c r="J446" s="71"/>
    </row>
    <row r="447" spans="1:10">
      <c r="A447" s="71"/>
      <c r="B447" s="72"/>
      <c r="C447" s="71"/>
      <c r="D447" s="71"/>
      <c r="E447" s="71"/>
      <c r="F447" s="71"/>
      <c r="G447" s="71"/>
      <c r="H447" s="71"/>
      <c r="I447" s="71"/>
      <c r="J447" s="71"/>
    </row>
    <row r="448" spans="1:10">
      <c r="A448" s="71"/>
      <c r="B448" s="72"/>
      <c r="C448" s="71"/>
      <c r="D448" s="71"/>
      <c r="E448" s="71"/>
      <c r="F448" s="71"/>
      <c r="G448" s="71"/>
      <c r="H448" s="71"/>
      <c r="I448" s="71"/>
      <c r="J448" s="71"/>
    </row>
    <row r="449" spans="1:10">
      <c r="A449" s="71"/>
      <c r="B449" s="72"/>
      <c r="C449" s="71"/>
      <c r="D449" s="71"/>
      <c r="E449" s="71"/>
      <c r="F449" s="71"/>
      <c r="G449" s="71"/>
      <c r="H449" s="71"/>
      <c r="I449" s="71"/>
      <c r="J449" s="71"/>
    </row>
    <row r="450" spans="1:10">
      <c r="A450" s="71"/>
      <c r="B450" s="72"/>
      <c r="C450" s="71"/>
      <c r="D450" s="71"/>
      <c r="E450" s="71"/>
      <c r="F450" s="71"/>
      <c r="G450" s="71"/>
      <c r="H450" s="71"/>
      <c r="I450" s="71"/>
      <c r="J450" s="71"/>
    </row>
    <row r="451" spans="1:10">
      <c r="A451" s="71"/>
      <c r="B451" s="72"/>
      <c r="C451" s="71"/>
      <c r="D451" s="71"/>
      <c r="E451" s="71"/>
      <c r="F451" s="71"/>
      <c r="G451" s="71"/>
      <c r="H451" s="71"/>
      <c r="I451" s="71"/>
      <c r="J451" s="71"/>
    </row>
    <row r="452" spans="1:10">
      <c r="A452" s="71"/>
      <c r="B452" s="72"/>
      <c r="C452" s="71"/>
      <c r="D452" s="71"/>
      <c r="E452" s="71"/>
      <c r="F452" s="71"/>
      <c r="G452" s="71"/>
      <c r="H452" s="71"/>
      <c r="I452" s="71"/>
      <c r="J452" s="71"/>
    </row>
    <row r="453" spans="1:10">
      <c r="A453" s="71"/>
      <c r="B453" s="72"/>
      <c r="C453" s="71"/>
      <c r="D453" s="71"/>
      <c r="E453" s="71"/>
      <c r="F453" s="71"/>
      <c r="G453" s="71"/>
      <c r="H453" s="71"/>
      <c r="I453" s="71"/>
      <c r="J453" s="71"/>
    </row>
    <row r="454" spans="1:10">
      <c r="A454" s="71"/>
      <c r="B454" s="72"/>
      <c r="C454" s="71"/>
      <c r="D454" s="71"/>
      <c r="E454" s="71"/>
      <c r="F454" s="71"/>
      <c r="G454" s="71"/>
      <c r="H454" s="71"/>
      <c r="I454" s="71"/>
      <c r="J454" s="71"/>
    </row>
    <row r="455" spans="1:10">
      <c r="A455" s="71"/>
      <c r="B455" s="72"/>
      <c r="C455" s="71"/>
      <c r="D455" s="71"/>
      <c r="E455" s="71"/>
      <c r="F455" s="71"/>
      <c r="G455" s="71"/>
      <c r="H455" s="71"/>
      <c r="I455" s="71"/>
      <c r="J455" s="71"/>
    </row>
    <row r="456" spans="1:10">
      <c r="A456" s="71"/>
      <c r="B456" s="72"/>
      <c r="C456" s="71"/>
      <c r="D456" s="71"/>
      <c r="E456" s="71"/>
      <c r="F456" s="71"/>
      <c r="G456" s="71"/>
      <c r="H456" s="71"/>
      <c r="I456" s="71"/>
      <c r="J456" s="71"/>
    </row>
    <row r="457" spans="1:10">
      <c r="A457" s="71"/>
      <c r="B457" s="72"/>
      <c r="C457" s="71"/>
      <c r="D457" s="71"/>
      <c r="E457" s="71"/>
      <c r="F457" s="71"/>
      <c r="G457" s="71"/>
      <c r="H457" s="71"/>
      <c r="I457" s="71"/>
      <c r="J457" s="71"/>
    </row>
    <row r="458" spans="1:10">
      <c r="A458" s="71"/>
      <c r="B458" s="72"/>
      <c r="C458" s="71"/>
      <c r="D458" s="71"/>
      <c r="E458" s="71"/>
      <c r="F458" s="71"/>
      <c r="G458" s="71"/>
      <c r="H458" s="71"/>
      <c r="I458" s="71"/>
      <c r="J458" s="71"/>
    </row>
    <row r="459" spans="1:10">
      <c r="A459" s="71"/>
      <c r="B459" s="72"/>
      <c r="C459" s="71"/>
      <c r="D459" s="71"/>
      <c r="E459" s="71"/>
      <c r="F459" s="71"/>
      <c r="G459" s="71"/>
      <c r="H459" s="71"/>
      <c r="I459" s="71"/>
      <c r="J459" s="71"/>
    </row>
    <row r="460" spans="1:10">
      <c r="A460" s="71"/>
      <c r="B460" s="72"/>
      <c r="C460" s="71"/>
      <c r="D460" s="71"/>
      <c r="E460" s="71"/>
      <c r="F460" s="71"/>
      <c r="G460" s="71"/>
      <c r="H460" s="71"/>
      <c r="I460" s="71"/>
      <c r="J460" s="71"/>
    </row>
    <row r="461" spans="1:10">
      <c r="A461" s="71"/>
      <c r="B461" s="72"/>
      <c r="C461" s="71"/>
      <c r="D461" s="71"/>
      <c r="E461" s="71"/>
      <c r="F461" s="71"/>
      <c r="G461" s="71"/>
      <c r="H461" s="71"/>
      <c r="I461" s="71"/>
      <c r="J461" s="71"/>
    </row>
    <row r="462" spans="1:10">
      <c r="A462" s="71"/>
      <c r="B462" s="72"/>
      <c r="C462" s="71"/>
      <c r="D462" s="71"/>
      <c r="E462" s="71"/>
      <c r="F462" s="71"/>
      <c r="G462" s="71"/>
      <c r="H462" s="71"/>
      <c r="I462" s="71"/>
      <c r="J462" s="71"/>
    </row>
    <row r="463" spans="1:10">
      <c r="A463" s="71"/>
      <c r="B463" s="72"/>
      <c r="C463" s="71"/>
      <c r="D463" s="71"/>
      <c r="E463" s="71"/>
      <c r="F463" s="71"/>
      <c r="G463" s="71"/>
      <c r="H463" s="71"/>
      <c r="I463" s="71"/>
      <c r="J463" s="71"/>
    </row>
    <row r="464" spans="1:10">
      <c r="A464" s="71"/>
      <c r="B464" s="72"/>
      <c r="C464" s="71"/>
      <c r="D464" s="71"/>
      <c r="E464" s="71"/>
      <c r="F464" s="71"/>
      <c r="G464" s="71"/>
      <c r="H464" s="71"/>
      <c r="I464" s="71"/>
      <c r="J464" s="71"/>
    </row>
    <row r="465" spans="1:10">
      <c r="A465" s="71"/>
      <c r="B465" s="72"/>
      <c r="C465" s="71"/>
      <c r="D465" s="71"/>
      <c r="E465" s="71"/>
      <c r="F465" s="71"/>
      <c r="G465" s="71"/>
      <c r="H465" s="71"/>
      <c r="I465" s="71"/>
      <c r="J465" s="71"/>
    </row>
    <row r="466" spans="1:10">
      <c r="A466" s="71"/>
      <c r="B466" s="72"/>
      <c r="C466" s="71"/>
      <c r="D466" s="71"/>
      <c r="E466" s="71"/>
      <c r="F466" s="71"/>
      <c r="G466" s="71"/>
      <c r="H466" s="71"/>
      <c r="I466" s="71"/>
      <c r="J466" s="71"/>
    </row>
    <row r="467" spans="1:10">
      <c r="A467" s="71"/>
      <c r="B467" s="72"/>
      <c r="C467" s="71"/>
      <c r="D467" s="71"/>
      <c r="E467" s="71"/>
      <c r="F467" s="71"/>
      <c r="G467" s="71"/>
      <c r="H467" s="71"/>
      <c r="I467" s="71"/>
      <c r="J467" s="71"/>
    </row>
    <row r="468" spans="1:10">
      <c r="A468" s="71"/>
      <c r="B468" s="72"/>
      <c r="C468" s="71"/>
      <c r="D468" s="71"/>
      <c r="E468" s="71"/>
      <c r="F468" s="71"/>
      <c r="G468" s="71"/>
      <c r="H468" s="71"/>
      <c r="I468" s="71"/>
      <c r="J468" s="71"/>
    </row>
    <row r="469" spans="1:10">
      <c r="A469" s="71"/>
      <c r="B469" s="72"/>
      <c r="C469" s="71"/>
      <c r="D469" s="71"/>
      <c r="E469" s="71"/>
      <c r="F469" s="71"/>
      <c r="G469" s="71"/>
      <c r="H469" s="71"/>
      <c r="I469" s="71"/>
      <c r="J469" s="71"/>
    </row>
    <row r="470" spans="1:10">
      <c r="A470" s="71"/>
      <c r="B470" s="72"/>
      <c r="C470" s="71"/>
      <c r="D470" s="71"/>
      <c r="E470" s="71"/>
      <c r="F470" s="71"/>
      <c r="G470" s="71"/>
      <c r="H470" s="71"/>
      <c r="I470" s="71"/>
      <c r="J470" s="71"/>
    </row>
    <row r="471" spans="1:10">
      <c r="A471" s="71"/>
      <c r="B471" s="72"/>
      <c r="C471" s="71"/>
      <c r="D471" s="71"/>
      <c r="E471" s="71"/>
      <c r="F471" s="71"/>
      <c r="G471" s="71"/>
      <c r="H471" s="71"/>
      <c r="I471" s="71"/>
      <c r="J471" s="71"/>
    </row>
    <row r="472" spans="1:10">
      <c r="A472" s="71"/>
      <c r="B472" s="72"/>
      <c r="C472" s="71"/>
      <c r="D472" s="71"/>
      <c r="E472" s="71"/>
      <c r="F472" s="71"/>
      <c r="G472" s="71"/>
      <c r="H472" s="71"/>
      <c r="I472" s="71"/>
      <c r="J472" s="71"/>
    </row>
    <row r="473" spans="1:10">
      <c r="A473" s="71"/>
      <c r="B473" s="72"/>
      <c r="C473" s="71"/>
      <c r="D473" s="71"/>
      <c r="E473" s="71"/>
      <c r="F473" s="71"/>
      <c r="G473" s="71"/>
      <c r="H473" s="71"/>
      <c r="I473" s="71"/>
      <c r="J473" s="71"/>
    </row>
    <row r="474" spans="1:10">
      <c r="A474" s="71"/>
      <c r="B474" s="72"/>
      <c r="C474" s="71"/>
      <c r="D474" s="71"/>
      <c r="E474" s="71"/>
      <c r="F474" s="71"/>
      <c r="G474" s="71"/>
      <c r="H474" s="71"/>
      <c r="I474" s="71"/>
      <c r="J474" s="71"/>
    </row>
    <row r="475" spans="1:10">
      <c r="A475" s="71"/>
      <c r="B475" s="72"/>
      <c r="C475" s="71"/>
      <c r="D475" s="71"/>
      <c r="E475" s="71"/>
      <c r="F475" s="71"/>
      <c r="G475" s="71"/>
      <c r="H475" s="71"/>
      <c r="I475" s="71"/>
      <c r="J475" s="71"/>
    </row>
    <row r="476" spans="1:10">
      <c r="A476" s="71"/>
      <c r="B476" s="72"/>
      <c r="C476" s="71"/>
      <c r="D476" s="71"/>
      <c r="E476" s="71"/>
      <c r="F476" s="71"/>
      <c r="G476" s="71"/>
      <c r="H476" s="71"/>
      <c r="I476" s="71"/>
      <c r="J476" s="71"/>
    </row>
    <row r="477" spans="1:10">
      <c r="A477" s="71"/>
      <c r="B477" s="72"/>
      <c r="C477" s="71"/>
      <c r="D477" s="71"/>
      <c r="E477" s="71"/>
      <c r="F477" s="71"/>
      <c r="G477" s="71"/>
      <c r="H477" s="71"/>
      <c r="I477" s="71"/>
      <c r="J477" s="71"/>
    </row>
    <row r="478" spans="1:10">
      <c r="A478" s="71"/>
      <c r="B478" s="72"/>
      <c r="C478" s="71"/>
      <c r="D478" s="71"/>
      <c r="E478" s="71"/>
      <c r="F478" s="71"/>
      <c r="G478" s="71"/>
      <c r="H478" s="71"/>
      <c r="I478" s="71"/>
      <c r="J478" s="71"/>
    </row>
    <row r="479" spans="1:10">
      <c r="A479" s="71"/>
      <c r="B479" s="72"/>
      <c r="C479" s="71"/>
      <c r="D479" s="71"/>
      <c r="E479" s="71"/>
      <c r="F479" s="71"/>
      <c r="G479" s="71"/>
      <c r="H479" s="71"/>
      <c r="I479" s="71"/>
      <c r="J479" s="71"/>
    </row>
    <row r="480" spans="1:10">
      <c r="A480" s="71"/>
      <c r="B480" s="72"/>
      <c r="C480" s="71"/>
      <c r="D480" s="71"/>
      <c r="E480" s="71"/>
      <c r="F480" s="71"/>
      <c r="G480" s="71"/>
      <c r="H480" s="71"/>
      <c r="I480" s="71"/>
      <c r="J480" s="71"/>
    </row>
    <row r="481" spans="1:10">
      <c r="A481" s="71"/>
      <c r="B481" s="72"/>
      <c r="C481" s="71"/>
      <c r="D481" s="71"/>
      <c r="E481" s="71"/>
      <c r="F481" s="71"/>
      <c r="G481" s="71"/>
      <c r="H481" s="71"/>
      <c r="I481" s="71"/>
      <c r="J481" s="71"/>
    </row>
    <row r="482" spans="1:10">
      <c r="A482" s="71"/>
      <c r="B482" s="72"/>
      <c r="C482" s="71"/>
      <c r="D482" s="71"/>
      <c r="E482" s="71"/>
      <c r="F482" s="71"/>
      <c r="G482" s="71"/>
      <c r="H482" s="71"/>
      <c r="I482" s="71"/>
      <c r="J482" s="71"/>
    </row>
    <row r="483" spans="1:10">
      <c r="A483" s="71"/>
      <c r="B483" s="72"/>
      <c r="C483" s="71"/>
      <c r="D483" s="71"/>
      <c r="E483" s="71"/>
      <c r="F483" s="71"/>
      <c r="G483" s="71"/>
      <c r="H483" s="71"/>
      <c r="I483" s="71"/>
      <c r="J483" s="71"/>
    </row>
    <row r="484" spans="1:10">
      <c r="A484" s="71"/>
      <c r="B484" s="72"/>
      <c r="C484" s="71"/>
      <c r="D484" s="71"/>
      <c r="E484" s="71"/>
      <c r="F484" s="71"/>
      <c r="G484" s="71"/>
      <c r="H484" s="71"/>
      <c r="I484" s="71"/>
      <c r="J484" s="71"/>
    </row>
    <row r="485" spans="1:10">
      <c r="A485" s="71"/>
      <c r="B485" s="72"/>
      <c r="C485" s="71"/>
      <c r="D485" s="71"/>
      <c r="E485" s="71"/>
      <c r="F485" s="71"/>
      <c r="G485" s="71"/>
      <c r="H485" s="71"/>
      <c r="I485" s="71"/>
      <c r="J485" s="71"/>
    </row>
    <row r="486" spans="1:10">
      <c r="A486" s="71"/>
      <c r="B486" s="72"/>
      <c r="C486" s="71"/>
      <c r="D486" s="71"/>
      <c r="E486" s="71"/>
      <c r="F486" s="71"/>
      <c r="G486" s="71"/>
      <c r="H486" s="71"/>
      <c r="I486" s="71"/>
      <c r="J486" s="71"/>
    </row>
    <row r="487" spans="1:10">
      <c r="A487" s="71"/>
      <c r="B487" s="72"/>
      <c r="C487" s="71"/>
      <c r="D487" s="71"/>
      <c r="E487" s="71"/>
      <c r="F487" s="71"/>
      <c r="G487" s="71"/>
      <c r="H487" s="71"/>
      <c r="I487" s="71"/>
      <c r="J487" s="71"/>
    </row>
    <row r="488" spans="1:10">
      <c r="A488" s="71"/>
      <c r="B488" s="72"/>
      <c r="C488" s="71"/>
      <c r="D488" s="71"/>
      <c r="E488" s="71"/>
      <c r="F488" s="71"/>
      <c r="G488" s="71"/>
      <c r="H488" s="71"/>
      <c r="I488" s="71"/>
      <c r="J488" s="71"/>
    </row>
    <row r="489" spans="1:10">
      <c r="A489" s="71"/>
      <c r="B489" s="72"/>
      <c r="C489" s="71"/>
      <c r="D489" s="71"/>
      <c r="E489" s="71"/>
      <c r="F489" s="71"/>
      <c r="G489" s="71"/>
      <c r="H489" s="71"/>
      <c r="I489" s="71"/>
      <c r="J489" s="71"/>
    </row>
    <row r="490" spans="1:10">
      <c r="A490" s="71"/>
      <c r="B490" s="72"/>
      <c r="C490" s="71"/>
      <c r="D490" s="71"/>
      <c r="E490" s="71"/>
      <c r="F490" s="71"/>
      <c r="G490" s="71"/>
      <c r="H490" s="71"/>
      <c r="I490" s="71"/>
      <c r="J490" s="71"/>
    </row>
    <row r="491" spans="1:10">
      <c r="A491" s="71"/>
      <c r="B491" s="72"/>
      <c r="C491" s="71"/>
      <c r="D491" s="71"/>
      <c r="E491" s="71"/>
      <c r="F491" s="71"/>
      <c r="G491" s="71"/>
      <c r="H491" s="71"/>
      <c r="I491" s="71"/>
      <c r="J491" s="71"/>
    </row>
    <row r="492" spans="1:10">
      <c r="A492" s="71"/>
      <c r="B492" s="72"/>
      <c r="C492" s="71"/>
      <c r="D492" s="71"/>
      <c r="E492" s="71"/>
      <c r="F492" s="71"/>
      <c r="G492" s="71"/>
      <c r="H492" s="71"/>
      <c r="I492" s="71"/>
      <c r="J492" s="71"/>
    </row>
    <row r="493" spans="1:10">
      <c r="A493" s="71"/>
      <c r="B493" s="72"/>
      <c r="C493" s="71"/>
      <c r="D493" s="71"/>
      <c r="E493" s="71"/>
      <c r="F493" s="71"/>
      <c r="G493" s="71"/>
      <c r="H493" s="71"/>
      <c r="I493" s="71"/>
      <c r="J493" s="71"/>
    </row>
    <row r="494" spans="1:10">
      <c r="A494" s="71"/>
      <c r="B494" s="72"/>
      <c r="C494" s="71"/>
      <c r="D494" s="71"/>
      <c r="E494" s="71"/>
      <c r="F494" s="71"/>
      <c r="G494" s="71"/>
      <c r="H494" s="71"/>
      <c r="I494" s="71"/>
      <c r="J494" s="71"/>
    </row>
    <row r="495" spans="1:10">
      <c r="A495" s="71"/>
      <c r="B495" s="72"/>
      <c r="C495" s="71"/>
      <c r="D495" s="71"/>
      <c r="E495" s="71"/>
      <c r="F495" s="71"/>
      <c r="G495" s="71"/>
      <c r="H495" s="71"/>
      <c r="I495" s="71"/>
      <c r="J495" s="71"/>
    </row>
    <row r="496" spans="1:10">
      <c r="A496" s="71"/>
      <c r="B496" s="72"/>
      <c r="C496" s="71"/>
      <c r="D496" s="71"/>
      <c r="E496" s="71"/>
      <c r="F496" s="71"/>
      <c r="G496" s="71"/>
      <c r="H496" s="71"/>
      <c r="I496" s="71"/>
      <c r="J496" s="71"/>
    </row>
    <row r="497" spans="1:10">
      <c r="A497" s="71"/>
      <c r="B497" s="72"/>
      <c r="C497" s="71"/>
      <c r="D497" s="71"/>
      <c r="E497" s="71"/>
      <c r="F497" s="71"/>
      <c r="G497" s="71"/>
      <c r="H497" s="71"/>
      <c r="I497" s="71"/>
      <c r="J497" s="71"/>
    </row>
    <row r="498" spans="1:10">
      <c r="A498" s="71"/>
      <c r="B498" s="72"/>
      <c r="C498" s="71"/>
      <c r="D498" s="71"/>
      <c r="E498" s="71"/>
      <c r="F498" s="71"/>
      <c r="G498" s="71"/>
      <c r="H498" s="71"/>
      <c r="I498" s="71"/>
      <c r="J498" s="71"/>
    </row>
    <row r="499" spans="1:10">
      <c r="A499" s="71"/>
      <c r="B499" s="72"/>
      <c r="C499" s="71"/>
      <c r="D499" s="71"/>
      <c r="E499" s="71"/>
      <c r="F499" s="71"/>
      <c r="G499" s="71"/>
      <c r="H499" s="71"/>
      <c r="I499" s="71"/>
      <c r="J499" s="71"/>
    </row>
    <row r="500" spans="1:10">
      <c r="A500" s="71"/>
      <c r="B500" s="72"/>
      <c r="C500" s="71"/>
      <c r="D500" s="71"/>
      <c r="E500" s="71"/>
      <c r="F500" s="71"/>
      <c r="G500" s="71"/>
      <c r="H500" s="71"/>
      <c r="I500" s="71"/>
      <c r="J500" s="71"/>
    </row>
    <row r="501" spans="1:10">
      <c r="A501" s="71"/>
      <c r="B501" s="72"/>
      <c r="C501" s="71"/>
      <c r="D501" s="71"/>
      <c r="E501" s="71"/>
      <c r="F501" s="71"/>
      <c r="G501" s="71"/>
      <c r="H501" s="71"/>
      <c r="I501" s="71"/>
      <c r="J501" s="71"/>
    </row>
    <row r="502" spans="1:10">
      <c r="A502" s="71"/>
      <c r="B502" s="72"/>
      <c r="C502" s="71"/>
      <c r="D502" s="71"/>
      <c r="E502" s="71"/>
      <c r="F502" s="71"/>
      <c r="G502" s="71"/>
      <c r="H502" s="71"/>
      <c r="I502" s="71"/>
      <c r="J502" s="71"/>
    </row>
    <row r="503" spans="1:10">
      <c r="A503" s="71"/>
      <c r="B503" s="72"/>
      <c r="C503" s="71"/>
      <c r="D503" s="71"/>
      <c r="E503" s="71"/>
      <c r="F503" s="71"/>
      <c r="G503" s="71"/>
      <c r="H503" s="71"/>
      <c r="I503" s="71"/>
      <c r="J503" s="71"/>
    </row>
    <row r="504" spans="1:10">
      <c r="A504" s="71"/>
      <c r="B504" s="72"/>
      <c r="C504" s="71"/>
      <c r="D504" s="71"/>
      <c r="E504" s="71"/>
      <c r="F504" s="71"/>
      <c r="G504" s="71"/>
      <c r="H504" s="71"/>
      <c r="I504" s="71"/>
      <c r="J504" s="71"/>
    </row>
    <row r="505" spans="1:10">
      <c r="A505" s="71"/>
      <c r="B505" s="72"/>
      <c r="C505" s="71"/>
      <c r="D505" s="71"/>
      <c r="E505" s="71"/>
      <c r="F505" s="71"/>
      <c r="G505" s="71"/>
      <c r="H505" s="71"/>
      <c r="I505" s="71"/>
      <c r="J505" s="71"/>
    </row>
    <row r="506" spans="1:10">
      <c r="A506" s="71"/>
      <c r="B506" s="72"/>
      <c r="C506" s="71"/>
      <c r="D506" s="71"/>
      <c r="E506" s="71"/>
      <c r="F506" s="71"/>
      <c r="G506" s="71"/>
      <c r="H506" s="71"/>
      <c r="I506" s="71"/>
      <c r="J506" s="71"/>
    </row>
    <row r="507" spans="1:10">
      <c r="A507" s="71"/>
      <c r="B507" s="72"/>
      <c r="C507" s="71"/>
      <c r="D507" s="71"/>
      <c r="E507" s="71"/>
      <c r="F507" s="71"/>
      <c r="G507" s="71"/>
      <c r="H507" s="71"/>
      <c r="I507" s="71"/>
      <c r="J507" s="71"/>
    </row>
    <row r="508" spans="1:10">
      <c r="A508" s="71"/>
      <c r="B508" s="72"/>
      <c r="C508" s="71"/>
      <c r="D508" s="71"/>
      <c r="E508" s="71"/>
      <c r="F508" s="71"/>
      <c r="G508" s="71"/>
      <c r="H508" s="71"/>
      <c r="I508" s="71"/>
      <c r="J508" s="71"/>
    </row>
    <row r="509" spans="1:10">
      <c r="A509" s="71"/>
      <c r="B509" s="72"/>
      <c r="C509" s="71"/>
      <c r="D509" s="71"/>
      <c r="E509" s="71"/>
      <c r="F509" s="71"/>
      <c r="G509" s="71"/>
      <c r="H509" s="71"/>
      <c r="I509" s="71"/>
      <c r="J509" s="71"/>
    </row>
    <row r="510" spans="1:10">
      <c r="A510" s="71"/>
      <c r="B510" s="72"/>
      <c r="C510" s="71"/>
      <c r="D510" s="71"/>
      <c r="E510" s="71"/>
      <c r="F510" s="71"/>
      <c r="G510" s="71"/>
      <c r="H510" s="71"/>
      <c r="I510" s="71"/>
      <c r="J510" s="71"/>
    </row>
    <row r="511" spans="1:10">
      <c r="A511" s="71"/>
      <c r="B511" s="72"/>
      <c r="C511" s="71"/>
      <c r="D511" s="71"/>
      <c r="E511" s="71"/>
      <c r="F511" s="71"/>
      <c r="G511" s="71"/>
      <c r="H511" s="71"/>
      <c r="I511" s="71"/>
      <c r="J511" s="71"/>
    </row>
    <row r="512" spans="1:10">
      <c r="A512" s="71"/>
      <c r="B512" s="72"/>
      <c r="C512" s="71"/>
      <c r="D512" s="71"/>
      <c r="E512" s="71"/>
      <c r="F512" s="71"/>
      <c r="G512" s="71"/>
      <c r="H512" s="71"/>
      <c r="I512" s="71"/>
      <c r="J512" s="71"/>
    </row>
    <row r="513" spans="1:10">
      <c r="A513" s="71"/>
      <c r="B513" s="72"/>
      <c r="C513" s="71"/>
      <c r="D513" s="71"/>
      <c r="E513" s="71"/>
      <c r="F513" s="71"/>
      <c r="G513" s="71"/>
      <c r="H513" s="71"/>
      <c r="I513" s="71"/>
      <c r="J513" s="71"/>
    </row>
    <row r="514" spans="1:10">
      <c r="A514" s="71"/>
      <c r="B514" s="72"/>
      <c r="C514" s="71"/>
      <c r="D514" s="71"/>
      <c r="E514" s="71"/>
      <c r="F514" s="71"/>
      <c r="G514" s="71"/>
      <c r="H514" s="71"/>
      <c r="I514" s="71"/>
      <c r="J514" s="71"/>
    </row>
    <row r="515" spans="1:10">
      <c r="A515" s="71"/>
      <c r="B515" s="72"/>
      <c r="C515" s="71"/>
      <c r="D515" s="71"/>
      <c r="E515" s="71"/>
      <c r="F515" s="71"/>
      <c r="G515" s="71"/>
      <c r="H515" s="71"/>
      <c r="I515" s="71"/>
      <c r="J515" s="71"/>
    </row>
    <row r="516" spans="1:10">
      <c r="A516" s="71"/>
      <c r="B516" s="72"/>
      <c r="C516" s="71"/>
      <c r="D516" s="71"/>
      <c r="E516" s="71"/>
      <c r="F516" s="71"/>
      <c r="G516" s="71"/>
      <c r="H516" s="71"/>
      <c r="I516" s="71"/>
      <c r="J516" s="71"/>
    </row>
    <row r="517" spans="1:10">
      <c r="A517" s="71"/>
      <c r="B517" s="72"/>
      <c r="C517" s="71"/>
      <c r="D517" s="71"/>
      <c r="E517" s="71"/>
      <c r="F517" s="71"/>
      <c r="G517" s="71"/>
      <c r="H517" s="71"/>
      <c r="I517" s="71"/>
      <c r="J517" s="71"/>
    </row>
    <row r="518" spans="1:10">
      <c r="A518" s="71"/>
      <c r="B518" s="72"/>
      <c r="C518" s="71"/>
      <c r="D518" s="71"/>
      <c r="E518" s="71"/>
      <c r="F518" s="71"/>
      <c r="G518" s="71"/>
      <c r="H518" s="71"/>
      <c r="I518" s="71"/>
      <c r="J518" s="71"/>
    </row>
    <row r="519" spans="1:10">
      <c r="A519" s="71"/>
      <c r="B519" s="72"/>
      <c r="C519" s="71"/>
      <c r="D519" s="71"/>
      <c r="E519" s="71"/>
      <c r="F519" s="71"/>
      <c r="G519" s="71"/>
      <c r="H519" s="71"/>
      <c r="I519" s="71"/>
      <c r="J519" s="71"/>
    </row>
    <row r="520" spans="1:10">
      <c r="A520" s="71"/>
      <c r="B520" s="72"/>
      <c r="C520" s="71"/>
      <c r="D520" s="71"/>
      <c r="E520" s="71"/>
      <c r="F520" s="71"/>
      <c r="G520" s="71"/>
      <c r="H520" s="71"/>
      <c r="I520" s="71"/>
      <c r="J520" s="71"/>
    </row>
    <row r="521" spans="1:10">
      <c r="A521" s="71"/>
      <c r="B521" s="72"/>
      <c r="C521" s="71"/>
      <c r="D521" s="71"/>
      <c r="E521" s="71"/>
      <c r="F521" s="71"/>
      <c r="G521" s="71"/>
      <c r="H521" s="71"/>
      <c r="I521" s="71"/>
      <c r="J521" s="71"/>
    </row>
    <row r="522" spans="1:10">
      <c r="A522" s="71"/>
      <c r="B522" s="72"/>
      <c r="C522" s="71"/>
      <c r="D522" s="71"/>
      <c r="E522" s="71"/>
      <c r="F522" s="71"/>
      <c r="G522" s="71"/>
      <c r="H522" s="71"/>
      <c r="I522" s="71"/>
      <c r="J522" s="71"/>
    </row>
    <row r="523" spans="1:10">
      <c r="A523" s="71"/>
      <c r="B523" s="72"/>
      <c r="C523" s="71"/>
      <c r="D523" s="71"/>
      <c r="E523" s="71"/>
      <c r="F523" s="71"/>
      <c r="G523" s="71"/>
      <c r="H523" s="71"/>
      <c r="I523" s="71"/>
      <c r="J523" s="71"/>
    </row>
    <row r="524" spans="1:10">
      <c r="A524" s="71"/>
      <c r="B524" s="72"/>
      <c r="C524" s="71"/>
      <c r="D524" s="71"/>
      <c r="E524" s="71"/>
      <c r="F524" s="71"/>
      <c r="G524" s="71"/>
      <c r="H524" s="71"/>
      <c r="I524" s="71"/>
      <c r="J524" s="71"/>
    </row>
    <row r="525" spans="1:10">
      <c r="A525" s="71"/>
      <c r="B525" s="72"/>
      <c r="C525" s="71"/>
      <c r="D525" s="71"/>
      <c r="E525" s="71"/>
      <c r="F525" s="71"/>
      <c r="G525" s="71"/>
      <c r="H525" s="71"/>
      <c r="I525" s="71"/>
      <c r="J525" s="71"/>
    </row>
    <row r="526" spans="1:10">
      <c r="A526" s="71"/>
      <c r="B526" s="72"/>
      <c r="C526" s="71"/>
      <c r="D526" s="71"/>
      <c r="E526" s="71"/>
      <c r="F526" s="71"/>
      <c r="G526" s="71"/>
      <c r="H526" s="71"/>
      <c r="I526" s="71"/>
      <c r="J526" s="71"/>
    </row>
    <row r="527" spans="1:10">
      <c r="A527" s="71"/>
      <c r="B527" s="72"/>
      <c r="C527" s="71"/>
      <c r="D527" s="71"/>
      <c r="E527" s="71"/>
      <c r="F527" s="71"/>
      <c r="G527" s="71"/>
      <c r="H527" s="71"/>
      <c r="I527" s="71"/>
      <c r="J527" s="71"/>
    </row>
    <row r="528" spans="1:10">
      <c r="A528" s="71"/>
      <c r="B528" s="72"/>
      <c r="C528" s="71"/>
      <c r="D528" s="71"/>
      <c r="E528" s="71"/>
      <c r="F528" s="71"/>
      <c r="G528" s="71"/>
      <c r="H528" s="71"/>
      <c r="I528" s="71"/>
      <c r="J528" s="71"/>
    </row>
    <row r="529" spans="1:10">
      <c r="A529" s="71"/>
      <c r="B529" s="72"/>
      <c r="C529" s="71"/>
      <c r="D529" s="71"/>
      <c r="E529" s="71"/>
      <c r="F529" s="71"/>
      <c r="G529" s="71"/>
      <c r="H529" s="71"/>
      <c r="I529" s="71"/>
      <c r="J529" s="71"/>
    </row>
    <row r="530" spans="1:10">
      <c r="A530" s="71"/>
      <c r="B530" s="72"/>
      <c r="C530" s="71"/>
      <c r="D530" s="71"/>
      <c r="E530" s="71"/>
      <c r="F530" s="71"/>
      <c r="G530" s="71"/>
      <c r="H530" s="71"/>
      <c r="I530" s="71"/>
      <c r="J530" s="71"/>
    </row>
    <row r="531" spans="1:10">
      <c r="A531" s="71"/>
      <c r="B531" s="72"/>
      <c r="C531" s="71"/>
      <c r="D531" s="71"/>
      <c r="E531" s="71"/>
      <c r="F531" s="71"/>
      <c r="G531" s="71"/>
      <c r="H531" s="71"/>
      <c r="I531" s="71"/>
      <c r="J531" s="71"/>
    </row>
    <row r="532" spans="1:10">
      <c r="A532" s="71"/>
      <c r="B532" s="72"/>
      <c r="C532" s="71"/>
      <c r="D532" s="71"/>
      <c r="E532" s="71"/>
      <c r="F532" s="71"/>
      <c r="G532" s="71"/>
      <c r="H532" s="71"/>
      <c r="I532" s="71"/>
      <c r="J532" s="71"/>
    </row>
    <row r="533" spans="1:10">
      <c r="A533" s="71"/>
      <c r="B533" s="72"/>
      <c r="C533" s="71"/>
      <c r="D533" s="71"/>
      <c r="E533" s="71"/>
      <c r="F533" s="71"/>
      <c r="G533" s="71"/>
      <c r="H533" s="71"/>
      <c r="I533" s="71"/>
      <c r="J533" s="71"/>
    </row>
    <row r="534" spans="1:10">
      <c r="A534" s="71"/>
      <c r="B534" s="72"/>
      <c r="C534" s="71"/>
      <c r="D534" s="71"/>
      <c r="E534" s="71"/>
      <c r="F534" s="71"/>
      <c r="G534" s="71"/>
      <c r="H534" s="71"/>
      <c r="I534" s="71"/>
      <c r="J534" s="71"/>
    </row>
    <row r="535" spans="1:10">
      <c r="A535" s="71"/>
      <c r="B535" s="72"/>
      <c r="C535" s="71"/>
      <c r="D535" s="71"/>
      <c r="E535" s="71"/>
      <c r="F535" s="71"/>
      <c r="G535" s="71"/>
      <c r="H535" s="71"/>
      <c r="I535" s="71"/>
      <c r="J535" s="71"/>
    </row>
    <row r="536" spans="1:10">
      <c r="A536" s="71"/>
      <c r="B536" s="72"/>
      <c r="C536" s="71"/>
      <c r="D536" s="71"/>
      <c r="E536" s="71"/>
      <c r="F536" s="71"/>
      <c r="G536" s="71"/>
      <c r="H536" s="71"/>
      <c r="I536" s="71"/>
      <c r="J536" s="71"/>
    </row>
    <row r="537" spans="1:10">
      <c r="A537" s="71"/>
      <c r="B537" s="72"/>
      <c r="C537" s="71"/>
      <c r="D537" s="71"/>
      <c r="E537" s="71"/>
      <c r="F537" s="71"/>
      <c r="G537" s="71"/>
      <c r="H537" s="71"/>
      <c r="I537" s="71"/>
      <c r="J537" s="71"/>
    </row>
    <row r="538" spans="1:10">
      <c r="A538" s="71"/>
      <c r="B538" s="72"/>
      <c r="C538" s="71"/>
      <c r="D538" s="71"/>
      <c r="E538" s="71"/>
      <c r="F538" s="71"/>
      <c r="G538" s="71"/>
      <c r="H538" s="71"/>
      <c r="I538" s="71"/>
      <c r="J538" s="71"/>
    </row>
    <row r="539" spans="1:10">
      <c r="A539" s="71"/>
      <c r="B539" s="72"/>
      <c r="C539" s="71"/>
      <c r="D539" s="71"/>
      <c r="E539" s="71"/>
      <c r="F539" s="71"/>
      <c r="G539" s="71"/>
      <c r="H539" s="71"/>
      <c r="I539" s="71"/>
      <c r="J539" s="71"/>
    </row>
    <row r="540" spans="1:10">
      <c r="A540" s="71"/>
      <c r="B540" s="72"/>
      <c r="C540" s="71"/>
      <c r="D540" s="71"/>
      <c r="E540" s="71"/>
      <c r="F540" s="71"/>
      <c r="G540" s="71"/>
      <c r="H540" s="71"/>
      <c r="I540" s="71"/>
      <c r="J540" s="71"/>
    </row>
    <row r="541" spans="1:10">
      <c r="A541" s="71"/>
      <c r="B541" s="72"/>
      <c r="C541" s="71"/>
      <c r="D541" s="71"/>
      <c r="E541" s="71"/>
      <c r="F541" s="71"/>
      <c r="G541" s="71"/>
      <c r="H541" s="71"/>
      <c r="I541" s="71"/>
      <c r="J541" s="71"/>
    </row>
    <row r="542" spans="1:10">
      <c r="A542" s="71"/>
      <c r="B542" s="72"/>
      <c r="C542" s="71"/>
      <c r="D542" s="71"/>
      <c r="E542" s="71"/>
      <c r="F542" s="71"/>
      <c r="G542" s="71"/>
      <c r="H542" s="71"/>
      <c r="I542" s="71"/>
      <c r="J542" s="71"/>
    </row>
    <row r="543" spans="1:10">
      <c r="A543" s="71"/>
      <c r="B543" s="72"/>
      <c r="C543" s="71"/>
      <c r="D543" s="71"/>
      <c r="E543" s="71"/>
      <c r="F543" s="71"/>
      <c r="G543" s="71"/>
      <c r="H543" s="71"/>
      <c r="I543" s="71"/>
      <c r="J543" s="71"/>
    </row>
    <row r="544" spans="1:10">
      <c r="A544" s="71"/>
      <c r="B544" s="72"/>
      <c r="C544" s="71"/>
      <c r="D544" s="71"/>
      <c r="E544" s="71"/>
      <c r="F544" s="71"/>
      <c r="G544" s="71"/>
      <c r="H544" s="71"/>
      <c r="I544" s="71"/>
      <c r="J544" s="71"/>
    </row>
    <row r="545" spans="1:10">
      <c r="A545" s="71"/>
      <c r="B545" s="72"/>
      <c r="C545" s="71"/>
      <c r="D545" s="71"/>
      <c r="E545" s="71"/>
      <c r="F545" s="71"/>
      <c r="G545" s="71"/>
      <c r="H545" s="71"/>
      <c r="I545" s="71"/>
      <c r="J545" s="71"/>
    </row>
    <row r="546" spans="1:10">
      <c r="A546" s="71"/>
      <c r="B546" s="72"/>
      <c r="C546" s="71"/>
      <c r="D546" s="71"/>
      <c r="E546" s="71"/>
      <c r="F546" s="71"/>
      <c r="G546" s="71"/>
      <c r="H546" s="71"/>
      <c r="I546" s="71"/>
      <c r="J546" s="71"/>
    </row>
    <row r="547" spans="1:10">
      <c r="A547" s="71"/>
      <c r="B547" s="72"/>
      <c r="C547" s="71"/>
      <c r="D547" s="71"/>
      <c r="E547" s="71"/>
      <c r="F547" s="71"/>
      <c r="G547" s="71"/>
      <c r="H547" s="71"/>
      <c r="I547" s="71"/>
      <c r="J547" s="71"/>
    </row>
    <row r="548" spans="1:10">
      <c r="A548" s="71"/>
      <c r="B548" s="72"/>
      <c r="C548" s="71"/>
      <c r="D548" s="71"/>
      <c r="E548" s="71"/>
      <c r="F548" s="71"/>
      <c r="G548" s="71"/>
      <c r="H548" s="71"/>
      <c r="I548" s="71"/>
      <c r="J548" s="71"/>
    </row>
    <row r="549" spans="1:10">
      <c r="A549" s="71"/>
      <c r="B549" s="72"/>
      <c r="C549" s="71"/>
      <c r="D549" s="71"/>
      <c r="E549" s="71"/>
      <c r="F549" s="71"/>
      <c r="G549" s="71"/>
      <c r="H549" s="71"/>
      <c r="I549" s="71"/>
      <c r="J549" s="71"/>
    </row>
    <row r="550" spans="1:10">
      <c r="A550" s="71"/>
      <c r="B550" s="72"/>
      <c r="C550" s="71"/>
      <c r="D550" s="71"/>
      <c r="E550" s="71"/>
      <c r="F550" s="71"/>
      <c r="G550" s="71"/>
      <c r="H550" s="71"/>
      <c r="I550" s="71"/>
      <c r="J550" s="71"/>
    </row>
    <row r="551" spans="1:10">
      <c r="A551" s="71"/>
      <c r="B551" s="72"/>
      <c r="C551" s="71"/>
      <c r="D551" s="71"/>
      <c r="E551" s="71"/>
      <c r="F551" s="71"/>
      <c r="G551" s="71"/>
      <c r="H551" s="71"/>
      <c r="I551" s="71"/>
      <c r="J551" s="71"/>
    </row>
    <row r="552" spans="1:10">
      <c r="A552" s="71"/>
      <c r="B552" s="72"/>
      <c r="C552" s="71"/>
      <c r="D552" s="71"/>
      <c r="E552" s="71"/>
      <c r="F552" s="71"/>
      <c r="G552" s="71"/>
      <c r="H552" s="71"/>
      <c r="I552" s="71"/>
      <c r="J552" s="71"/>
    </row>
    <row r="553" spans="1:10">
      <c r="A553" s="71"/>
      <c r="B553" s="72"/>
      <c r="C553" s="71"/>
      <c r="D553" s="71"/>
      <c r="E553" s="71"/>
      <c r="F553" s="71"/>
      <c r="G553" s="71"/>
      <c r="H553" s="71"/>
      <c r="I553" s="71"/>
      <c r="J553" s="71"/>
    </row>
    <row r="554" spans="1:10">
      <c r="A554" s="71"/>
      <c r="B554" s="72"/>
      <c r="C554" s="71"/>
      <c r="D554" s="71"/>
      <c r="E554" s="71"/>
      <c r="F554" s="71"/>
      <c r="G554" s="71"/>
      <c r="H554" s="71"/>
      <c r="I554" s="71"/>
      <c r="J554" s="71"/>
    </row>
    <row r="555" spans="1:10">
      <c r="A555" s="71"/>
      <c r="B555" s="72"/>
      <c r="C555" s="71"/>
      <c r="D555" s="71"/>
      <c r="E555" s="71"/>
      <c r="F555" s="71"/>
      <c r="G555" s="71"/>
      <c r="H555" s="71"/>
      <c r="I555" s="71"/>
      <c r="J555" s="71"/>
    </row>
    <row r="556" spans="1:10">
      <c r="A556" s="71"/>
      <c r="B556" s="72"/>
      <c r="C556" s="71"/>
      <c r="D556" s="71"/>
      <c r="E556" s="71"/>
      <c r="F556" s="71"/>
      <c r="G556" s="71"/>
      <c r="H556" s="71"/>
      <c r="I556" s="71"/>
      <c r="J556" s="71"/>
    </row>
    <row r="557" spans="1:10">
      <c r="A557" s="71"/>
      <c r="B557" s="72"/>
      <c r="C557" s="71"/>
      <c r="D557" s="71"/>
      <c r="E557" s="71"/>
      <c r="F557" s="71"/>
      <c r="G557" s="71"/>
      <c r="H557" s="71"/>
      <c r="I557" s="71"/>
      <c r="J557" s="71"/>
    </row>
    <row r="558" spans="1:10">
      <c r="A558" s="71"/>
      <c r="B558" s="72"/>
      <c r="C558" s="71"/>
      <c r="D558" s="71"/>
      <c r="E558" s="71"/>
      <c r="F558" s="71"/>
      <c r="G558" s="71"/>
      <c r="H558" s="71"/>
      <c r="I558" s="71"/>
      <c r="J558" s="71"/>
    </row>
    <row r="559" spans="1:10">
      <c r="A559" s="71"/>
      <c r="B559" s="72"/>
      <c r="C559" s="71"/>
      <c r="D559" s="71"/>
      <c r="E559" s="71"/>
      <c r="F559" s="71"/>
      <c r="G559" s="71"/>
      <c r="H559" s="71"/>
      <c r="I559" s="71"/>
      <c r="J559" s="71"/>
    </row>
    <row r="560" spans="1:10">
      <c r="A560" s="71"/>
      <c r="B560" s="72"/>
      <c r="C560" s="71"/>
      <c r="D560" s="71"/>
      <c r="E560" s="71"/>
      <c r="F560" s="71"/>
      <c r="G560" s="71"/>
      <c r="H560" s="71"/>
      <c r="I560" s="71"/>
      <c r="J560" s="71"/>
    </row>
    <row r="561" spans="1:10">
      <c r="A561" s="71"/>
      <c r="B561" s="72"/>
      <c r="C561" s="71"/>
      <c r="D561" s="71"/>
      <c r="E561" s="71"/>
      <c r="F561" s="71"/>
      <c r="G561" s="71"/>
      <c r="H561" s="71"/>
      <c r="I561" s="71"/>
      <c r="J561" s="71"/>
    </row>
    <row r="562" spans="1:10">
      <c r="A562" s="71"/>
      <c r="B562" s="72"/>
      <c r="C562" s="71"/>
      <c r="D562" s="71"/>
      <c r="E562" s="71"/>
      <c r="F562" s="71"/>
      <c r="G562" s="71"/>
      <c r="H562" s="71"/>
      <c r="I562" s="71"/>
      <c r="J562" s="71"/>
    </row>
    <row r="563" spans="1:10">
      <c r="A563" s="71"/>
      <c r="B563" s="72"/>
      <c r="C563" s="71"/>
      <c r="D563" s="71"/>
      <c r="E563" s="71"/>
      <c r="F563" s="71"/>
      <c r="G563" s="71"/>
      <c r="H563" s="71"/>
      <c r="I563" s="71"/>
      <c r="J563" s="71"/>
    </row>
    <row r="564" spans="1:10">
      <c r="A564" s="71"/>
      <c r="B564" s="72"/>
      <c r="C564" s="71"/>
      <c r="D564" s="71"/>
      <c r="E564" s="71"/>
      <c r="F564" s="71"/>
      <c r="G564" s="71"/>
      <c r="H564" s="71"/>
      <c r="I564" s="71"/>
      <c r="J564" s="71"/>
    </row>
    <row r="565" spans="1:10">
      <c r="A565" s="71"/>
      <c r="B565" s="72"/>
      <c r="C565" s="71"/>
      <c r="D565" s="71"/>
      <c r="E565" s="71"/>
      <c r="F565" s="71"/>
      <c r="G565" s="71"/>
      <c r="H565" s="71"/>
      <c r="I565" s="71"/>
      <c r="J565" s="71"/>
    </row>
    <row r="566" spans="1:10">
      <c r="A566" s="71"/>
      <c r="B566" s="72"/>
      <c r="C566" s="71"/>
      <c r="D566" s="71"/>
      <c r="E566" s="71"/>
      <c r="F566" s="71"/>
      <c r="G566" s="71"/>
      <c r="H566" s="71"/>
      <c r="I566" s="71"/>
      <c r="J566" s="71"/>
    </row>
    <row r="567" spans="1:10">
      <c r="A567" s="71"/>
      <c r="B567" s="72"/>
      <c r="C567" s="71"/>
      <c r="D567" s="71"/>
      <c r="E567" s="71"/>
      <c r="F567" s="71"/>
      <c r="G567" s="71"/>
      <c r="H567" s="71"/>
      <c r="I567" s="71"/>
      <c r="J567" s="71"/>
    </row>
    <row r="568" spans="1:10">
      <c r="A568" s="71"/>
      <c r="B568" s="72"/>
      <c r="C568" s="71"/>
      <c r="D568" s="71"/>
      <c r="E568" s="71"/>
      <c r="F568" s="71"/>
      <c r="G568" s="71"/>
      <c r="H568" s="71"/>
      <c r="I568" s="71"/>
      <c r="J568" s="71"/>
    </row>
    <row r="569" spans="1:10">
      <c r="A569" s="71"/>
      <c r="B569" s="72"/>
      <c r="C569" s="71"/>
      <c r="D569" s="71"/>
      <c r="E569" s="71"/>
      <c r="F569" s="71"/>
      <c r="G569" s="71"/>
      <c r="H569" s="71"/>
      <c r="I569" s="71"/>
      <c r="J569" s="71"/>
    </row>
    <row r="570" spans="1:10">
      <c r="A570" s="71"/>
      <c r="B570" s="72"/>
      <c r="C570" s="71"/>
      <c r="D570" s="71"/>
      <c r="E570" s="71"/>
      <c r="F570" s="71"/>
      <c r="G570" s="71"/>
      <c r="H570" s="71"/>
      <c r="I570" s="71"/>
      <c r="J570" s="71"/>
    </row>
    <row r="571" spans="1:10">
      <c r="A571" s="71"/>
      <c r="B571" s="72"/>
      <c r="C571" s="71"/>
      <c r="D571" s="71"/>
      <c r="E571" s="71"/>
      <c r="F571" s="71"/>
      <c r="G571" s="71"/>
      <c r="H571" s="71"/>
      <c r="I571" s="71"/>
      <c r="J571" s="71"/>
    </row>
    <row r="572" spans="1:10">
      <c r="A572" s="71"/>
      <c r="B572" s="72"/>
      <c r="C572" s="71"/>
      <c r="D572" s="71"/>
      <c r="E572" s="71"/>
      <c r="F572" s="71"/>
      <c r="G572" s="71"/>
      <c r="H572" s="71"/>
      <c r="I572" s="71"/>
      <c r="J572" s="71"/>
    </row>
    <row r="573" spans="1:10">
      <c r="A573" s="71"/>
      <c r="B573" s="72"/>
      <c r="C573" s="71"/>
      <c r="D573" s="71"/>
      <c r="E573" s="71"/>
      <c r="F573" s="71"/>
      <c r="G573" s="71"/>
      <c r="H573" s="71"/>
      <c r="I573" s="71"/>
      <c r="J573" s="71"/>
    </row>
    <row r="574" spans="1:10">
      <c r="A574" s="71"/>
      <c r="B574" s="72"/>
      <c r="C574" s="71"/>
      <c r="D574" s="71"/>
      <c r="E574" s="71"/>
      <c r="F574" s="71"/>
      <c r="G574" s="71"/>
      <c r="H574" s="71"/>
      <c r="I574" s="71"/>
      <c r="J574" s="71"/>
    </row>
    <row r="575" spans="1:10">
      <c r="A575" s="71"/>
      <c r="B575" s="72"/>
      <c r="C575" s="71"/>
      <c r="D575" s="71"/>
      <c r="E575" s="71"/>
      <c r="F575" s="71"/>
      <c r="G575" s="71"/>
      <c r="H575" s="71"/>
      <c r="I575" s="71"/>
      <c r="J575" s="71"/>
    </row>
    <row r="576" spans="1:10">
      <c r="A576" s="71"/>
      <c r="B576" s="72"/>
      <c r="C576" s="71"/>
      <c r="D576" s="71"/>
      <c r="E576" s="71"/>
      <c r="F576" s="71"/>
      <c r="G576" s="71"/>
      <c r="H576" s="71"/>
      <c r="I576" s="71"/>
      <c r="J576" s="71"/>
    </row>
    <row r="577" spans="1:10">
      <c r="A577" s="71"/>
      <c r="B577" s="72"/>
      <c r="C577" s="71"/>
      <c r="D577" s="71"/>
      <c r="E577" s="71"/>
      <c r="F577" s="71"/>
      <c r="G577" s="71"/>
      <c r="H577" s="71"/>
      <c r="I577" s="71"/>
      <c r="J577" s="71"/>
    </row>
    <row r="578" spans="1:10">
      <c r="A578" s="71"/>
      <c r="B578" s="72"/>
      <c r="C578" s="71"/>
      <c r="D578" s="71"/>
      <c r="E578" s="71"/>
      <c r="F578" s="71"/>
      <c r="G578" s="71"/>
      <c r="H578" s="71"/>
      <c r="I578" s="71"/>
      <c r="J578" s="71"/>
    </row>
    <row r="579" spans="1:10">
      <c r="A579" s="71"/>
      <c r="B579" s="72"/>
      <c r="C579" s="71"/>
      <c r="D579" s="71"/>
      <c r="E579" s="71"/>
      <c r="F579" s="71"/>
      <c r="G579" s="71"/>
      <c r="H579" s="71"/>
      <c r="I579" s="71"/>
      <c r="J579" s="71"/>
    </row>
    <row r="580" spans="1:10">
      <c r="A580" s="71"/>
      <c r="B580" s="72"/>
      <c r="C580" s="71"/>
      <c r="D580" s="71"/>
      <c r="E580" s="71"/>
      <c r="F580" s="71"/>
      <c r="G580" s="71"/>
      <c r="H580" s="71"/>
      <c r="I580" s="71"/>
      <c r="J580" s="71"/>
    </row>
    <row r="581" spans="1:10">
      <c r="A581" s="71"/>
      <c r="B581" s="72"/>
      <c r="C581" s="71"/>
      <c r="D581" s="71"/>
      <c r="E581" s="71"/>
      <c r="F581" s="71"/>
      <c r="G581" s="71"/>
      <c r="H581" s="71"/>
      <c r="I581" s="71"/>
      <c r="J581" s="71"/>
    </row>
    <row r="582" spans="1:10">
      <c r="A582" s="71"/>
      <c r="B582" s="72"/>
      <c r="C582" s="71"/>
      <c r="D582" s="71"/>
      <c r="E582" s="71"/>
      <c r="F582" s="71"/>
      <c r="G582" s="71"/>
      <c r="H582" s="71"/>
      <c r="I582" s="71"/>
      <c r="J582" s="71"/>
    </row>
    <row r="583" spans="1:10">
      <c r="A583" s="71"/>
      <c r="B583" s="72"/>
      <c r="C583" s="71"/>
      <c r="D583" s="71"/>
      <c r="E583" s="71"/>
      <c r="F583" s="71"/>
      <c r="G583" s="71"/>
      <c r="H583" s="71"/>
      <c r="I583" s="71"/>
      <c r="J583" s="71"/>
    </row>
    <row r="584" spans="1:10">
      <c r="A584" s="71"/>
      <c r="B584" s="72"/>
      <c r="C584" s="71"/>
      <c r="D584" s="71"/>
      <c r="E584" s="71"/>
      <c r="F584" s="71"/>
      <c r="G584" s="71"/>
      <c r="H584" s="71"/>
      <c r="I584" s="71"/>
      <c r="J584" s="71"/>
    </row>
    <row r="585" spans="1:10">
      <c r="A585" s="71"/>
      <c r="B585" s="72"/>
      <c r="C585" s="71"/>
      <c r="D585" s="71"/>
      <c r="E585" s="71"/>
      <c r="F585" s="71"/>
      <c r="G585" s="71"/>
      <c r="H585" s="71"/>
      <c r="I585" s="71"/>
      <c r="J585" s="71"/>
    </row>
    <row r="586" spans="1:10">
      <c r="A586" s="71"/>
      <c r="B586" s="72"/>
      <c r="C586" s="71"/>
      <c r="D586" s="71"/>
      <c r="E586" s="71"/>
      <c r="F586" s="71"/>
      <c r="G586" s="71"/>
      <c r="H586" s="71"/>
      <c r="I586" s="71"/>
      <c r="J586" s="71"/>
    </row>
    <row r="587" spans="1:10">
      <c r="A587" s="71"/>
      <c r="B587" s="72"/>
      <c r="C587" s="71"/>
      <c r="D587" s="71"/>
      <c r="E587" s="71"/>
      <c r="F587" s="71"/>
      <c r="G587" s="71"/>
      <c r="H587" s="71"/>
      <c r="I587" s="71"/>
      <c r="J587" s="71"/>
    </row>
    <row r="588" spans="1:10">
      <c r="A588" s="71"/>
      <c r="B588" s="72"/>
      <c r="C588" s="71"/>
      <c r="D588" s="71"/>
      <c r="E588" s="71"/>
      <c r="F588" s="71"/>
      <c r="G588" s="71"/>
      <c r="H588" s="71"/>
      <c r="I588" s="71"/>
      <c r="J588" s="71"/>
    </row>
    <row r="589" spans="1:10">
      <c r="A589" s="71"/>
      <c r="B589" s="72"/>
      <c r="C589" s="71"/>
      <c r="D589" s="71"/>
      <c r="E589" s="71"/>
      <c r="F589" s="71"/>
      <c r="G589" s="71"/>
      <c r="H589" s="71"/>
      <c r="I589" s="71"/>
      <c r="J589" s="71"/>
    </row>
    <row r="590" spans="1:10">
      <c r="A590" s="71"/>
      <c r="B590" s="72"/>
      <c r="C590" s="71"/>
      <c r="D590" s="71"/>
      <c r="E590" s="71"/>
      <c r="F590" s="71"/>
      <c r="G590" s="71"/>
      <c r="H590" s="71"/>
      <c r="I590" s="71"/>
      <c r="J590" s="71"/>
    </row>
    <row r="591" spans="1:10">
      <c r="A591" s="71"/>
      <c r="B591" s="72"/>
      <c r="C591" s="71"/>
      <c r="D591" s="71"/>
      <c r="E591" s="71"/>
      <c r="F591" s="71"/>
      <c r="G591" s="71"/>
      <c r="H591" s="71"/>
      <c r="I591" s="71"/>
      <c r="J591" s="71"/>
    </row>
    <row r="592" spans="1:10">
      <c r="A592" s="71"/>
      <c r="B592" s="72"/>
      <c r="C592" s="71"/>
      <c r="D592" s="71"/>
      <c r="E592" s="71"/>
      <c r="F592" s="71"/>
      <c r="G592" s="71"/>
      <c r="H592" s="71"/>
      <c r="I592" s="71"/>
      <c r="J592" s="71"/>
    </row>
    <row r="593" spans="1:10">
      <c r="A593" s="71"/>
      <c r="B593" s="72"/>
      <c r="C593" s="71"/>
      <c r="D593" s="71"/>
      <c r="E593" s="71"/>
      <c r="F593" s="71"/>
      <c r="G593" s="71"/>
      <c r="H593" s="71"/>
      <c r="I593" s="71"/>
      <c r="J593" s="71"/>
    </row>
    <row r="594" spans="1:10">
      <c r="A594" s="71"/>
      <c r="B594" s="72"/>
      <c r="C594" s="71"/>
      <c r="D594" s="71"/>
      <c r="E594" s="71"/>
      <c r="F594" s="71"/>
      <c r="G594" s="71"/>
      <c r="H594" s="71"/>
      <c r="I594" s="71"/>
      <c r="J594" s="71"/>
    </row>
    <row r="595" spans="1:10">
      <c r="A595" s="71"/>
      <c r="B595" s="72"/>
      <c r="C595" s="71"/>
      <c r="D595" s="71"/>
      <c r="E595" s="71"/>
      <c r="F595" s="71"/>
      <c r="G595" s="71"/>
      <c r="H595" s="71"/>
      <c r="I595" s="71"/>
      <c r="J595" s="71"/>
    </row>
    <row r="596" spans="1:10">
      <c r="A596" s="71"/>
      <c r="B596" s="72"/>
      <c r="C596" s="71"/>
      <c r="D596" s="71"/>
      <c r="E596" s="71"/>
      <c r="F596" s="71"/>
      <c r="G596" s="71"/>
      <c r="H596" s="71"/>
      <c r="I596" s="71"/>
      <c r="J596" s="71"/>
    </row>
    <row r="597" spans="1:10">
      <c r="A597" s="71"/>
      <c r="B597" s="72"/>
      <c r="C597" s="71"/>
      <c r="D597" s="71"/>
      <c r="E597" s="71"/>
      <c r="F597" s="71"/>
      <c r="G597" s="71"/>
      <c r="H597" s="71"/>
      <c r="I597" s="71"/>
      <c r="J597" s="71"/>
    </row>
    <row r="598" spans="1:10">
      <c r="A598" s="71"/>
      <c r="B598" s="72"/>
      <c r="C598" s="71"/>
      <c r="D598" s="71"/>
      <c r="E598" s="71"/>
      <c r="F598" s="71"/>
      <c r="G598" s="71"/>
      <c r="H598" s="71"/>
      <c r="I598" s="71"/>
      <c r="J598" s="71"/>
    </row>
    <row r="599" spans="1:10">
      <c r="A599" s="71"/>
      <c r="B599" s="72"/>
      <c r="C599" s="71"/>
      <c r="D599" s="71"/>
      <c r="E599" s="71"/>
      <c r="F599" s="71"/>
      <c r="G599" s="71"/>
      <c r="H599" s="71"/>
      <c r="I599" s="71"/>
      <c r="J599" s="71"/>
    </row>
    <row r="600" spans="1:10">
      <c r="A600" s="71"/>
      <c r="B600" s="72"/>
      <c r="C600" s="71"/>
      <c r="D600" s="71"/>
      <c r="E600" s="71"/>
      <c r="F600" s="71"/>
      <c r="G600" s="71"/>
      <c r="H600" s="71"/>
      <c r="I600" s="71"/>
      <c r="J600" s="71"/>
    </row>
    <row r="601" spans="1:10">
      <c r="A601" s="71"/>
      <c r="B601" s="72"/>
      <c r="C601" s="71"/>
      <c r="D601" s="71"/>
      <c r="E601" s="71"/>
      <c r="F601" s="71"/>
      <c r="G601" s="71"/>
      <c r="H601" s="71"/>
      <c r="I601" s="71"/>
      <c r="J601" s="71"/>
    </row>
    <row r="602" spans="1:10">
      <c r="A602" s="71"/>
      <c r="B602" s="72"/>
      <c r="C602" s="71"/>
      <c r="D602" s="71"/>
      <c r="E602" s="71"/>
      <c r="F602" s="71"/>
      <c r="G602" s="71"/>
      <c r="H602" s="71"/>
      <c r="I602" s="71"/>
      <c r="J602" s="71"/>
    </row>
    <row r="603" spans="1:10">
      <c r="A603" s="71"/>
      <c r="B603" s="72"/>
      <c r="C603" s="71"/>
      <c r="D603" s="71"/>
      <c r="E603" s="71"/>
      <c r="F603" s="71"/>
      <c r="G603" s="71"/>
      <c r="H603" s="71"/>
      <c r="I603" s="71"/>
      <c r="J603" s="71"/>
    </row>
    <row r="604" spans="1:10">
      <c r="A604" s="71"/>
      <c r="B604" s="72"/>
      <c r="C604" s="71"/>
      <c r="D604" s="71"/>
      <c r="E604" s="71"/>
      <c r="F604" s="71"/>
      <c r="G604" s="71"/>
      <c r="H604" s="71"/>
      <c r="I604" s="71"/>
      <c r="J604" s="71"/>
    </row>
    <row r="605" spans="1:10">
      <c r="A605" s="71"/>
      <c r="B605" s="72"/>
      <c r="C605" s="71"/>
      <c r="D605" s="71"/>
      <c r="E605" s="71"/>
      <c r="F605" s="71"/>
      <c r="G605" s="71"/>
      <c r="H605" s="71"/>
      <c r="I605" s="71"/>
      <c r="J605" s="71"/>
    </row>
    <row r="606" spans="1:10">
      <c r="A606" s="71"/>
      <c r="B606" s="72"/>
      <c r="C606" s="71"/>
      <c r="D606" s="71"/>
      <c r="E606" s="71"/>
      <c r="F606" s="71"/>
      <c r="G606" s="71"/>
      <c r="H606" s="71"/>
      <c r="I606" s="71"/>
      <c r="J606" s="71"/>
    </row>
    <row r="607" spans="1:10">
      <c r="A607" s="71"/>
      <c r="B607" s="72"/>
      <c r="C607" s="71"/>
      <c r="D607" s="71"/>
      <c r="E607" s="71"/>
      <c r="F607" s="71"/>
      <c r="G607" s="71"/>
      <c r="H607" s="71"/>
      <c r="I607" s="71"/>
      <c r="J607" s="71"/>
    </row>
    <row r="608" spans="1:10">
      <c r="A608" s="71"/>
      <c r="B608" s="72"/>
      <c r="C608" s="71"/>
      <c r="D608" s="71"/>
      <c r="E608" s="71"/>
      <c r="F608" s="71"/>
      <c r="G608" s="71"/>
      <c r="H608" s="71"/>
      <c r="I608" s="71"/>
      <c r="J608" s="71"/>
    </row>
    <row r="609" spans="1:10">
      <c r="A609" s="71"/>
      <c r="B609" s="72"/>
      <c r="C609" s="71"/>
      <c r="D609" s="71"/>
      <c r="E609" s="71"/>
      <c r="F609" s="71"/>
      <c r="G609" s="71"/>
      <c r="H609" s="71"/>
      <c r="I609" s="71"/>
      <c r="J609" s="71"/>
    </row>
    <row r="610" spans="1:10">
      <c r="A610" s="71"/>
      <c r="B610" s="72"/>
      <c r="C610" s="71"/>
      <c r="D610" s="71"/>
      <c r="E610" s="71"/>
      <c r="F610" s="71"/>
      <c r="G610" s="71"/>
      <c r="H610" s="71"/>
      <c r="I610" s="71"/>
      <c r="J610" s="71"/>
    </row>
    <row r="611" spans="1:10">
      <c r="A611" s="71"/>
      <c r="B611" s="72"/>
      <c r="C611" s="71"/>
      <c r="D611" s="71"/>
      <c r="E611" s="71"/>
      <c r="F611" s="71"/>
      <c r="G611" s="71"/>
      <c r="H611" s="71"/>
      <c r="I611" s="71"/>
      <c r="J611" s="71"/>
    </row>
    <row r="612" spans="1:10">
      <c r="A612" s="71"/>
      <c r="B612" s="72"/>
      <c r="C612" s="71"/>
      <c r="D612" s="71"/>
      <c r="E612" s="71"/>
      <c r="F612" s="71"/>
      <c r="G612" s="71"/>
      <c r="H612" s="71"/>
      <c r="I612" s="71"/>
      <c r="J612" s="71"/>
    </row>
    <row r="613" spans="1:10">
      <c r="A613" s="71"/>
      <c r="B613" s="72"/>
      <c r="C613" s="71"/>
      <c r="D613" s="71"/>
      <c r="E613" s="71"/>
      <c r="F613" s="71"/>
      <c r="G613" s="71"/>
      <c r="H613" s="71"/>
      <c r="I613" s="71"/>
      <c r="J613" s="71"/>
    </row>
    <row r="614" spans="1:10">
      <c r="A614" s="71"/>
      <c r="B614" s="72"/>
      <c r="C614" s="71"/>
      <c r="D614" s="71"/>
      <c r="E614" s="71"/>
      <c r="F614" s="71"/>
      <c r="G614" s="71"/>
      <c r="H614" s="71"/>
      <c r="I614" s="71"/>
      <c r="J614" s="71"/>
    </row>
    <row r="615" spans="1:10">
      <c r="A615" s="71"/>
      <c r="B615" s="72"/>
      <c r="C615" s="71"/>
      <c r="D615" s="71"/>
      <c r="E615" s="71"/>
      <c r="F615" s="71"/>
      <c r="G615" s="71"/>
      <c r="H615" s="71"/>
      <c r="I615" s="71"/>
      <c r="J615" s="71"/>
    </row>
    <row r="616" spans="1:10">
      <c r="A616" s="71"/>
      <c r="B616" s="72"/>
      <c r="C616" s="71"/>
      <c r="D616" s="71"/>
      <c r="E616" s="71"/>
      <c r="F616" s="71"/>
      <c r="G616" s="71"/>
      <c r="H616" s="71"/>
      <c r="I616" s="71"/>
      <c r="J616" s="71"/>
    </row>
    <row r="617" spans="1:10">
      <c r="A617" s="71"/>
      <c r="B617" s="72"/>
      <c r="C617" s="71"/>
      <c r="D617" s="71"/>
      <c r="E617" s="71"/>
      <c r="F617" s="71"/>
      <c r="G617" s="71"/>
      <c r="H617" s="71"/>
      <c r="I617" s="71"/>
      <c r="J617" s="71"/>
    </row>
    <row r="618" spans="1:10">
      <c r="A618" s="71"/>
      <c r="B618" s="72"/>
      <c r="C618" s="71"/>
      <c r="D618" s="71"/>
      <c r="E618" s="71"/>
      <c r="F618" s="71"/>
      <c r="G618" s="71"/>
      <c r="H618" s="71"/>
      <c r="I618" s="71"/>
      <c r="J618" s="71"/>
    </row>
    <row r="619" spans="1:10">
      <c r="A619" s="71"/>
      <c r="B619" s="72"/>
      <c r="C619" s="71"/>
      <c r="D619" s="71"/>
      <c r="E619" s="71"/>
      <c r="F619" s="71"/>
      <c r="G619" s="71"/>
      <c r="H619" s="71"/>
      <c r="I619" s="71"/>
      <c r="J619" s="71"/>
    </row>
    <row r="620" spans="1:10">
      <c r="A620" s="71"/>
      <c r="B620" s="72"/>
      <c r="C620" s="71"/>
      <c r="D620" s="71"/>
      <c r="E620" s="71"/>
      <c r="F620" s="71"/>
      <c r="G620" s="71"/>
      <c r="H620" s="71"/>
      <c r="I620" s="71"/>
      <c r="J620" s="71"/>
    </row>
    <row r="621" spans="1:10">
      <c r="A621" s="71"/>
      <c r="B621" s="72"/>
      <c r="C621" s="71"/>
      <c r="D621" s="71"/>
      <c r="E621" s="71"/>
      <c r="F621" s="71"/>
      <c r="G621" s="71"/>
      <c r="H621" s="71"/>
      <c r="I621" s="71"/>
      <c r="J621" s="71"/>
    </row>
    <row r="622" spans="1:10">
      <c r="A622" s="71"/>
      <c r="B622" s="72"/>
      <c r="C622" s="71"/>
      <c r="D622" s="71"/>
      <c r="E622" s="71"/>
      <c r="F622" s="71"/>
      <c r="G622" s="71"/>
      <c r="H622" s="71"/>
      <c r="I622" s="71"/>
      <c r="J622" s="71"/>
    </row>
    <row r="623" spans="1:10">
      <c r="A623" s="71"/>
      <c r="B623" s="72"/>
      <c r="C623" s="71"/>
      <c r="D623" s="71"/>
      <c r="E623" s="71"/>
      <c r="F623" s="71"/>
      <c r="G623" s="71"/>
      <c r="H623" s="71"/>
      <c r="I623" s="71"/>
      <c r="J623" s="71"/>
    </row>
    <row r="624" spans="1:10">
      <c r="A624" s="71"/>
      <c r="B624" s="72"/>
      <c r="C624" s="71"/>
      <c r="D624" s="71"/>
      <c r="E624" s="71"/>
      <c r="F624" s="71"/>
      <c r="G624" s="71"/>
      <c r="H624" s="71"/>
      <c r="I624" s="71"/>
      <c r="J624" s="71"/>
    </row>
    <row r="625" spans="1:10">
      <c r="A625" s="71"/>
      <c r="B625" s="72"/>
      <c r="C625" s="71"/>
      <c r="D625" s="71"/>
      <c r="E625" s="71"/>
      <c r="F625" s="71"/>
      <c r="G625" s="71"/>
      <c r="H625" s="71"/>
      <c r="I625" s="71"/>
      <c r="J625" s="71"/>
    </row>
    <row r="626" spans="1:10">
      <c r="A626" s="71"/>
      <c r="B626" s="72"/>
      <c r="C626" s="71"/>
      <c r="D626" s="71"/>
      <c r="E626" s="71"/>
      <c r="F626" s="71"/>
      <c r="G626" s="71"/>
      <c r="H626" s="71"/>
      <c r="I626" s="71"/>
      <c r="J626" s="71"/>
    </row>
    <row r="627" spans="1:10">
      <c r="A627" s="71"/>
      <c r="B627" s="72"/>
      <c r="C627" s="71"/>
      <c r="D627" s="71"/>
      <c r="E627" s="71"/>
      <c r="F627" s="71"/>
      <c r="G627" s="71"/>
      <c r="H627" s="71"/>
      <c r="I627" s="71"/>
      <c r="J627" s="71"/>
    </row>
    <row r="628" spans="1:10">
      <c r="A628" s="71"/>
      <c r="B628" s="72"/>
      <c r="C628" s="71"/>
      <c r="D628" s="71"/>
      <c r="E628" s="71"/>
      <c r="F628" s="71"/>
      <c r="G628" s="71"/>
      <c r="H628" s="71"/>
      <c r="I628" s="71"/>
      <c r="J628" s="71"/>
    </row>
    <row r="629" spans="1:10">
      <c r="A629" s="71"/>
      <c r="B629" s="72"/>
      <c r="C629" s="71"/>
      <c r="D629" s="71"/>
      <c r="E629" s="71"/>
      <c r="F629" s="71"/>
      <c r="G629" s="71"/>
      <c r="H629" s="71"/>
      <c r="I629" s="71"/>
      <c r="J629" s="71"/>
    </row>
    <row r="630" spans="1:10">
      <c r="A630" s="71"/>
      <c r="B630" s="72"/>
      <c r="C630" s="71"/>
      <c r="D630" s="71"/>
      <c r="E630" s="71"/>
      <c r="F630" s="71"/>
      <c r="G630" s="71"/>
      <c r="H630" s="71"/>
      <c r="I630" s="71"/>
      <c r="J630" s="71"/>
    </row>
    <row r="631" spans="1:10">
      <c r="A631" s="71"/>
      <c r="B631" s="72"/>
      <c r="C631" s="71"/>
      <c r="D631" s="71"/>
      <c r="E631" s="71"/>
      <c r="F631" s="71"/>
      <c r="G631" s="71"/>
      <c r="H631" s="71"/>
      <c r="I631" s="71"/>
      <c r="J631" s="71"/>
    </row>
    <row r="632" spans="1:10">
      <c r="A632" s="71"/>
      <c r="B632" s="72"/>
      <c r="C632" s="71"/>
      <c r="D632" s="71"/>
      <c r="E632" s="71"/>
      <c r="F632" s="71"/>
      <c r="G632" s="71"/>
      <c r="H632" s="71"/>
      <c r="I632" s="71"/>
      <c r="J632" s="71"/>
    </row>
    <row r="633" spans="1:10">
      <c r="A633" s="71"/>
      <c r="B633" s="72"/>
      <c r="C633" s="71"/>
      <c r="D633" s="71"/>
      <c r="E633" s="71"/>
      <c r="F633" s="71"/>
      <c r="G633" s="71"/>
      <c r="H633" s="71"/>
      <c r="I633" s="71"/>
      <c r="J633" s="71"/>
    </row>
    <row r="634" spans="1:10">
      <c r="A634" s="71"/>
      <c r="B634" s="72"/>
      <c r="C634" s="71"/>
      <c r="D634" s="71"/>
      <c r="E634" s="71"/>
      <c r="F634" s="71"/>
      <c r="G634" s="71"/>
      <c r="H634" s="71"/>
      <c r="I634" s="71"/>
      <c r="J634" s="71"/>
    </row>
    <row r="635" spans="1:10">
      <c r="A635" s="71"/>
      <c r="B635" s="72"/>
      <c r="C635" s="71"/>
      <c r="D635" s="71"/>
      <c r="E635" s="71"/>
      <c r="F635" s="71"/>
      <c r="G635" s="71"/>
      <c r="H635" s="71"/>
      <c r="I635" s="71"/>
      <c r="J635" s="71"/>
    </row>
    <row r="636" spans="1:10">
      <c r="A636" s="71"/>
      <c r="B636" s="72"/>
      <c r="C636" s="71"/>
      <c r="D636" s="71"/>
      <c r="E636" s="71"/>
      <c r="F636" s="71"/>
      <c r="G636" s="71"/>
      <c r="H636" s="71"/>
      <c r="I636" s="71"/>
      <c r="J636" s="71"/>
    </row>
    <row r="637" spans="1:10">
      <c r="A637" s="71"/>
      <c r="B637" s="72"/>
      <c r="C637" s="71"/>
      <c r="D637" s="71"/>
      <c r="E637" s="71"/>
      <c r="F637" s="71"/>
      <c r="G637" s="71"/>
      <c r="H637" s="71"/>
      <c r="I637" s="71"/>
      <c r="J637" s="71"/>
    </row>
    <row r="638" spans="1:10">
      <c r="A638" s="71"/>
      <c r="B638" s="72"/>
      <c r="C638" s="71"/>
      <c r="D638" s="71"/>
      <c r="E638" s="71"/>
      <c r="F638" s="71"/>
      <c r="G638" s="71"/>
      <c r="H638" s="71"/>
      <c r="I638" s="71"/>
      <c r="J638" s="71"/>
    </row>
    <row r="639" spans="1:10">
      <c r="A639" s="71"/>
      <c r="B639" s="72"/>
      <c r="C639" s="71"/>
      <c r="D639" s="71"/>
      <c r="E639" s="71"/>
      <c r="F639" s="71"/>
      <c r="G639" s="71"/>
      <c r="H639" s="71"/>
      <c r="I639" s="71"/>
      <c r="J639" s="71"/>
    </row>
    <row r="640" spans="1:10">
      <c r="A640" s="71"/>
      <c r="B640" s="72"/>
      <c r="C640" s="71"/>
      <c r="D640" s="71"/>
      <c r="E640" s="71"/>
      <c r="F640" s="71"/>
      <c r="G640" s="71"/>
      <c r="H640" s="71"/>
      <c r="I640" s="71"/>
      <c r="J640" s="71"/>
    </row>
    <row r="641" spans="1:10">
      <c r="A641" s="71"/>
      <c r="B641" s="72"/>
      <c r="C641" s="71"/>
      <c r="D641" s="71"/>
      <c r="E641" s="71"/>
      <c r="F641" s="71"/>
      <c r="G641" s="71"/>
      <c r="H641" s="71"/>
      <c r="I641" s="71"/>
      <c r="J641" s="71"/>
    </row>
    <row r="642" spans="1:10">
      <c r="A642" s="71"/>
      <c r="B642" s="72"/>
      <c r="C642" s="71"/>
      <c r="D642" s="71"/>
      <c r="E642" s="71"/>
      <c r="F642" s="71"/>
      <c r="G642" s="71"/>
      <c r="H642" s="71"/>
      <c r="I642" s="71"/>
      <c r="J642" s="71"/>
    </row>
    <row r="643" spans="1:10">
      <c r="A643" s="71"/>
      <c r="B643" s="72"/>
      <c r="C643" s="71"/>
      <c r="D643" s="71"/>
      <c r="E643" s="71"/>
      <c r="F643" s="71"/>
      <c r="G643" s="71"/>
      <c r="H643" s="71"/>
      <c r="I643" s="71"/>
      <c r="J643" s="71"/>
    </row>
    <row r="644" spans="1:10">
      <c r="A644" s="71"/>
      <c r="B644" s="72"/>
      <c r="C644" s="71"/>
      <c r="D644" s="71"/>
      <c r="E644" s="71"/>
      <c r="F644" s="71"/>
      <c r="G644" s="71"/>
      <c r="H644" s="71"/>
      <c r="I644" s="71"/>
      <c r="J644" s="71"/>
    </row>
    <row r="645" spans="1:10">
      <c r="A645" s="71"/>
      <c r="B645" s="72"/>
      <c r="C645" s="71"/>
      <c r="D645" s="71"/>
      <c r="E645" s="71"/>
      <c r="F645" s="71"/>
      <c r="G645" s="71"/>
      <c r="H645" s="71"/>
      <c r="I645" s="71"/>
      <c r="J645" s="71"/>
    </row>
    <row r="646" spans="1:10">
      <c r="A646" s="71"/>
      <c r="B646" s="72"/>
      <c r="C646" s="71"/>
      <c r="D646" s="71"/>
      <c r="E646" s="71"/>
      <c r="F646" s="71"/>
      <c r="G646" s="71"/>
      <c r="H646" s="71"/>
      <c r="I646" s="71"/>
      <c r="J646" s="71"/>
    </row>
    <row r="647" spans="1:10">
      <c r="A647" s="71"/>
      <c r="B647" s="72"/>
      <c r="C647" s="71"/>
      <c r="D647" s="71"/>
      <c r="E647" s="71"/>
      <c r="F647" s="71"/>
      <c r="G647" s="71"/>
      <c r="H647" s="71"/>
      <c r="I647" s="71"/>
      <c r="J647" s="71"/>
    </row>
    <row r="648" spans="1:10">
      <c r="A648" s="71"/>
      <c r="B648" s="72"/>
      <c r="C648" s="71"/>
      <c r="D648" s="71"/>
      <c r="E648" s="71"/>
      <c r="F648" s="71"/>
      <c r="G648" s="71"/>
      <c r="H648" s="71"/>
      <c r="I648" s="71"/>
      <c r="J648" s="71"/>
    </row>
    <row r="649" spans="1:10">
      <c r="A649" s="71"/>
      <c r="B649" s="72"/>
      <c r="C649" s="71"/>
      <c r="D649" s="71"/>
      <c r="E649" s="71"/>
      <c r="F649" s="71"/>
      <c r="G649" s="71"/>
      <c r="H649" s="71"/>
      <c r="I649" s="71"/>
      <c r="J649" s="71"/>
    </row>
    <row r="650" spans="1:10">
      <c r="A650" s="71"/>
      <c r="B650" s="72"/>
      <c r="C650" s="71"/>
      <c r="D650" s="71"/>
      <c r="E650" s="71"/>
      <c r="F650" s="71"/>
      <c r="G650" s="71"/>
      <c r="H650" s="71"/>
      <c r="I650" s="71"/>
      <c r="J650" s="71"/>
    </row>
    <row r="651" spans="1:10">
      <c r="A651" s="71"/>
      <c r="B651" s="72"/>
      <c r="C651" s="71"/>
      <c r="D651" s="71"/>
      <c r="E651" s="71"/>
      <c r="F651" s="71"/>
      <c r="G651" s="71"/>
      <c r="H651" s="71"/>
      <c r="I651" s="71"/>
      <c r="J651" s="71"/>
    </row>
    <row r="652" spans="1:10">
      <c r="A652" s="71"/>
      <c r="B652" s="72"/>
      <c r="C652" s="71"/>
      <c r="D652" s="71"/>
      <c r="E652" s="71"/>
      <c r="F652" s="71"/>
      <c r="G652" s="71"/>
      <c r="H652" s="71"/>
      <c r="I652" s="71"/>
      <c r="J652" s="71"/>
    </row>
    <row r="653" spans="1:10">
      <c r="A653" s="71"/>
      <c r="B653" s="72"/>
      <c r="C653" s="71"/>
      <c r="D653" s="71"/>
      <c r="E653" s="71"/>
      <c r="F653" s="71"/>
      <c r="G653" s="71"/>
      <c r="H653" s="71"/>
      <c r="I653" s="71"/>
      <c r="J653" s="71"/>
    </row>
    <row r="654" spans="1:10">
      <c r="A654" s="71"/>
      <c r="B654" s="72"/>
      <c r="C654" s="71"/>
      <c r="D654" s="71"/>
      <c r="E654" s="71"/>
      <c r="F654" s="71"/>
      <c r="G654" s="71"/>
      <c r="H654" s="71"/>
      <c r="I654" s="71"/>
      <c r="J654" s="71"/>
    </row>
    <row r="655" spans="1:10">
      <c r="A655" s="71"/>
      <c r="B655" s="72"/>
      <c r="C655" s="71"/>
      <c r="D655" s="71"/>
      <c r="E655" s="71"/>
      <c r="F655" s="71"/>
      <c r="G655" s="71"/>
      <c r="H655" s="71"/>
      <c r="I655" s="71"/>
      <c r="J655" s="71"/>
    </row>
    <row r="656" spans="1:10">
      <c r="A656" s="71"/>
      <c r="B656" s="72"/>
      <c r="C656" s="71"/>
      <c r="D656" s="71"/>
      <c r="E656" s="71"/>
      <c r="F656" s="71"/>
      <c r="G656" s="71"/>
      <c r="H656" s="71"/>
      <c r="I656" s="71"/>
      <c r="J656" s="71"/>
    </row>
    <row r="657" spans="1:10">
      <c r="A657" s="71"/>
      <c r="B657" s="72"/>
      <c r="C657" s="71"/>
      <c r="D657" s="71"/>
      <c r="E657" s="71"/>
      <c r="F657" s="71"/>
      <c r="G657" s="71"/>
      <c r="H657" s="71"/>
      <c r="I657" s="71"/>
      <c r="J657" s="71"/>
    </row>
    <row r="658" spans="1:10">
      <c r="A658" s="71"/>
      <c r="B658" s="72"/>
      <c r="C658" s="71"/>
      <c r="D658" s="71"/>
      <c r="E658" s="71"/>
      <c r="F658" s="71"/>
      <c r="G658" s="71"/>
      <c r="H658" s="71"/>
      <c r="I658" s="71"/>
      <c r="J658" s="71"/>
    </row>
    <row r="659" spans="1:10">
      <c r="A659" s="71"/>
      <c r="B659" s="72"/>
      <c r="C659" s="71"/>
      <c r="D659" s="71"/>
      <c r="E659" s="71"/>
      <c r="F659" s="71"/>
      <c r="G659" s="71"/>
      <c r="H659" s="71"/>
      <c r="I659" s="71"/>
      <c r="J659" s="71"/>
    </row>
    <row r="660" spans="1:10">
      <c r="A660" s="71"/>
      <c r="B660" s="72"/>
      <c r="C660" s="71"/>
      <c r="D660" s="71"/>
      <c r="E660" s="71"/>
      <c r="F660" s="71"/>
      <c r="G660" s="71"/>
      <c r="H660" s="71"/>
      <c r="I660" s="71"/>
      <c r="J660" s="71"/>
    </row>
    <row r="661" spans="1:10">
      <c r="A661" s="71"/>
      <c r="B661" s="72"/>
      <c r="C661" s="71"/>
      <c r="D661" s="71"/>
      <c r="E661" s="71"/>
      <c r="F661" s="71"/>
      <c r="G661" s="71"/>
      <c r="H661" s="71"/>
      <c r="I661" s="71"/>
      <c r="J661" s="71"/>
    </row>
    <row r="662" spans="1:10">
      <c r="A662" s="71"/>
      <c r="B662" s="72"/>
      <c r="C662" s="71"/>
      <c r="D662" s="71"/>
      <c r="E662" s="71"/>
      <c r="F662" s="71"/>
      <c r="G662" s="71"/>
      <c r="H662" s="71"/>
      <c r="I662" s="71"/>
      <c r="J662" s="71"/>
    </row>
    <row r="663" spans="1:10">
      <c r="A663" s="71"/>
      <c r="B663" s="72"/>
      <c r="C663" s="71"/>
      <c r="D663" s="71"/>
      <c r="E663" s="71"/>
      <c r="F663" s="71"/>
      <c r="G663" s="71"/>
      <c r="H663" s="71"/>
      <c r="I663" s="71"/>
      <c r="J663" s="71"/>
    </row>
    <row r="664" spans="1:10">
      <c r="A664" s="71"/>
      <c r="B664" s="72"/>
      <c r="C664" s="71"/>
      <c r="D664" s="71"/>
      <c r="E664" s="71"/>
      <c r="F664" s="71"/>
      <c r="G664" s="71"/>
      <c r="H664" s="71"/>
      <c r="I664" s="71"/>
      <c r="J664" s="71"/>
    </row>
    <row r="665" spans="1:10">
      <c r="A665" s="71"/>
      <c r="B665" s="72"/>
      <c r="C665" s="71"/>
      <c r="D665" s="71"/>
      <c r="E665" s="71"/>
      <c r="F665" s="71"/>
      <c r="G665" s="71"/>
      <c r="H665" s="71"/>
      <c r="I665" s="71"/>
      <c r="J665" s="71"/>
    </row>
    <row r="666" spans="1:10">
      <c r="A666" s="71"/>
      <c r="B666" s="72"/>
      <c r="C666" s="71"/>
      <c r="D666" s="71"/>
      <c r="E666" s="71"/>
      <c r="F666" s="71"/>
      <c r="G666" s="71"/>
      <c r="H666" s="71"/>
      <c r="I666" s="71"/>
      <c r="J666" s="71"/>
    </row>
    <row r="667" spans="1:10">
      <c r="A667" s="71"/>
      <c r="B667" s="72"/>
      <c r="C667" s="71"/>
      <c r="D667" s="71"/>
      <c r="E667" s="71"/>
      <c r="F667" s="71"/>
      <c r="G667" s="71"/>
      <c r="H667" s="71"/>
      <c r="I667" s="71"/>
      <c r="J667" s="71"/>
    </row>
    <row r="668" spans="1:10">
      <c r="A668" s="71"/>
      <c r="B668" s="72"/>
      <c r="C668" s="71"/>
      <c r="D668" s="71"/>
      <c r="E668" s="71"/>
      <c r="F668" s="71"/>
      <c r="G668" s="71"/>
      <c r="H668" s="71"/>
      <c r="I668" s="71"/>
      <c r="J668" s="71"/>
    </row>
    <row r="669" spans="1:10">
      <c r="A669" s="71"/>
      <c r="B669" s="72"/>
      <c r="C669" s="71"/>
      <c r="D669" s="71"/>
      <c r="E669" s="71"/>
      <c r="F669" s="71"/>
      <c r="G669" s="71"/>
      <c r="H669" s="71"/>
      <c r="I669" s="71"/>
      <c r="J669" s="71"/>
    </row>
    <row r="670" spans="1:10">
      <c r="A670" s="71"/>
      <c r="B670" s="72"/>
      <c r="C670" s="71"/>
      <c r="D670" s="71"/>
      <c r="E670" s="71"/>
      <c r="F670" s="71"/>
      <c r="G670" s="71"/>
      <c r="H670" s="71"/>
      <c r="I670" s="71"/>
      <c r="J670" s="71"/>
    </row>
    <row r="671" spans="1:10">
      <c r="A671" s="71"/>
      <c r="B671" s="72"/>
      <c r="C671" s="71"/>
      <c r="D671" s="71"/>
      <c r="E671" s="71"/>
      <c r="F671" s="71"/>
      <c r="G671" s="71"/>
      <c r="H671" s="71"/>
      <c r="I671" s="71"/>
      <c r="J671" s="71"/>
    </row>
    <row r="672" spans="1:10">
      <c r="A672" s="71"/>
      <c r="B672" s="72"/>
      <c r="C672" s="71"/>
      <c r="D672" s="71"/>
      <c r="E672" s="71"/>
      <c r="F672" s="71"/>
      <c r="G672" s="71"/>
      <c r="H672" s="71"/>
      <c r="I672" s="71"/>
      <c r="J672" s="71"/>
    </row>
    <row r="673" spans="1:10">
      <c r="A673" s="71"/>
      <c r="B673" s="72"/>
      <c r="C673" s="71"/>
      <c r="D673" s="71"/>
      <c r="E673" s="71"/>
      <c r="F673" s="71"/>
      <c r="G673" s="71"/>
      <c r="H673" s="71"/>
      <c r="I673" s="71"/>
      <c r="J673" s="71"/>
    </row>
    <row r="674" spans="1:10">
      <c r="A674" s="71"/>
      <c r="B674" s="72"/>
      <c r="C674" s="71"/>
      <c r="D674" s="71"/>
      <c r="E674" s="71"/>
      <c r="F674" s="71"/>
      <c r="G674" s="71"/>
      <c r="H674" s="71"/>
      <c r="I674" s="71"/>
      <c r="J674" s="71"/>
    </row>
    <row r="675" spans="1:10">
      <c r="A675" s="71"/>
      <c r="B675" s="72"/>
      <c r="C675" s="71"/>
      <c r="D675" s="71"/>
      <c r="E675" s="71"/>
      <c r="F675" s="71"/>
      <c r="G675" s="71"/>
      <c r="H675" s="71"/>
      <c r="I675" s="71"/>
      <c r="J675" s="71"/>
    </row>
    <row r="676" spans="1:10">
      <c r="A676" s="71"/>
      <c r="B676" s="72"/>
      <c r="C676" s="71"/>
      <c r="D676" s="71"/>
      <c r="E676" s="71"/>
      <c r="F676" s="71"/>
      <c r="G676" s="71"/>
      <c r="H676" s="71"/>
      <c r="I676" s="71"/>
      <c r="J676" s="71"/>
    </row>
    <row r="677" spans="1:10">
      <c r="A677" s="71"/>
      <c r="B677" s="72"/>
      <c r="C677" s="71"/>
      <c r="D677" s="71"/>
      <c r="E677" s="71"/>
      <c r="F677" s="71"/>
      <c r="G677" s="71"/>
      <c r="H677" s="71"/>
      <c r="I677" s="71"/>
      <c r="J677" s="71"/>
    </row>
    <row r="678" spans="1:10">
      <c r="A678" s="71"/>
      <c r="B678" s="72"/>
      <c r="C678" s="71"/>
      <c r="D678" s="71"/>
      <c r="E678" s="71"/>
      <c r="F678" s="71"/>
      <c r="G678" s="71"/>
      <c r="H678" s="71"/>
      <c r="I678" s="71"/>
      <c r="J678" s="71"/>
    </row>
    <row r="679" spans="1:10">
      <c r="A679" s="71"/>
      <c r="B679" s="72"/>
      <c r="C679" s="71"/>
      <c r="D679" s="71"/>
      <c r="E679" s="71"/>
      <c r="F679" s="71"/>
      <c r="G679" s="71"/>
      <c r="H679" s="71"/>
      <c r="I679" s="71"/>
      <c r="J679" s="71"/>
    </row>
    <row r="680" spans="1:10">
      <c r="A680" s="71"/>
      <c r="B680" s="72"/>
      <c r="C680" s="71"/>
      <c r="D680" s="71"/>
      <c r="E680" s="71"/>
      <c r="F680" s="71"/>
      <c r="G680" s="71"/>
      <c r="H680" s="71"/>
      <c r="I680" s="71"/>
      <c r="J680" s="71"/>
    </row>
    <row r="681" spans="1:10">
      <c r="A681" s="71"/>
      <c r="B681" s="72"/>
      <c r="C681" s="71"/>
      <c r="D681" s="71"/>
      <c r="E681" s="71"/>
      <c r="F681" s="71"/>
      <c r="G681" s="71"/>
      <c r="H681" s="71"/>
      <c r="I681" s="71"/>
      <c r="J681" s="71"/>
    </row>
    <row r="682" spans="1:10">
      <c r="A682" s="71"/>
      <c r="B682" s="72"/>
      <c r="C682" s="71"/>
      <c r="D682" s="71"/>
      <c r="E682" s="71"/>
      <c r="F682" s="71"/>
      <c r="G682" s="71"/>
      <c r="H682" s="71"/>
      <c r="I682" s="71"/>
      <c r="J682" s="71"/>
    </row>
    <row r="683" spans="1:10">
      <c r="A683" s="71"/>
      <c r="B683" s="72"/>
      <c r="C683" s="71"/>
      <c r="D683" s="71"/>
      <c r="E683" s="71"/>
      <c r="F683" s="71"/>
      <c r="G683" s="71"/>
      <c r="H683" s="71"/>
      <c r="I683" s="71"/>
      <c r="J683" s="71"/>
    </row>
    <row r="684" spans="1:10">
      <c r="A684" s="71"/>
      <c r="B684" s="72"/>
      <c r="C684" s="71"/>
      <c r="D684" s="71"/>
      <c r="E684" s="71"/>
      <c r="F684" s="71"/>
      <c r="G684" s="71"/>
      <c r="H684" s="71"/>
      <c r="I684" s="71"/>
      <c r="J684" s="71"/>
    </row>
    <row r="685" spans="1:10">
      <c r="A685" s="71"/>
      <c r="B685" s="72"/>
      <c r="C685" s="71"/>
      <c r="D685" s="71"/>
      <c r="E685" s="71"/>
      <c r="F685" s="71"/>
      <c r="G685" s="71"/>
      <c r="H685" s="71"/>
      <c r="I685" s="71"/>
      <c r="J685" s="71"/>
    </row>
    <row r="686" spans="1:10">
      <c r="A686" s="71"/>
      <c r="B686" s="72"/>
      <c r="C686" s="71"/>
      <c r="D686" s="71"/>
      <c r="E686" s="71"/>
      <c r="F686" s="71"/>
      <c r="G686" s="71"/>
      <c r="H686" s="71"/>
      <c r="I686" s="71"/>
      <c r="J686" s="71"/>
    </row>
    <row r="687" spans="1:10">
      <c r="A687" s="71"/>
      <c r="B687" s="72"/>
      <c r="C687" s="71"/>
      <c r="D687" s="71"/>
      <c r="E687" s="71"/>
      <c r="F687" s="71"/>
      <c r="G687" s="71"/>
      <c r="H687" s="71"/>
      <c r="I687" s="71"/>
      <c r="J687" s="71"/>
    </row>
    <row r="688" spans="1:10">
      <c r="A688" s="71"/>
      <c r="B688" s="72"/>
      <c r="C688" s="71"/>
      <c r="D688" s="71"/>
      <c r="E688" s="71"/>
      <c r="F688" s="71"/>
      <c r="G688" s="71"/>
      <c r="H688" s="71"/>
      <c r="I688" s="71"/>
      <c r="J688" s="71"/>
    </row>
    <row r="689" spans="1:10">
      <c r="A689" s="71"/>
      <c r="B689" s="72"/>
      <c r="C689" s="71"/>
      <c r="D689" s="71"/>
      <c r="E689" s="71"/>
      <c r="F689" s="71"/>
      <c r="G689" s="71"/>
      <c r="H689" s="71"/>
      <c r="I689" s="71"/>
      <c r="J689" s="71"/>
    </row>
    <row r="690" spans="1:10">
      <c r="A690" s="71"/>
      <c r="B690" s="72"/>
      <c r="C690" s="71"/>
      <c r="D690" s="71"/>
      <c r="E690" s="71"/>
      <c r="F690" s="71"/>
      <c r="G690" s="71"/>
      <c r="H690" s="71"/>
      <c r="I690" s="71"/>
      <c r="J690" s="71"/>
    </row>
    <row r="691" spans="1:10">
      <c r="A691" s="71"/>
      <c r="B691" s="72"/>
      <c r="C691" s="71"/>
      <c r="D691" s="71"/>
      <c r="E691" s="71"/>
      <c r="F691" s="71"/>
      <c r="G691" s="71"/>
      <c r="H691" s="71"/>
      <c r="I691" s="71"/>
      <c r="J691" s="71"/>
    </row>
    <row r="692" spans="1:10">
      <c r="A692" s="71"/>
      <c r="B692" s="72"/>
      <c r="C692" s="71"/>
      <c r="D692" s="71"/>
      <c r="E692" s="71"/>
      <c r="F692" s="71"/>
      <c r="G692" s="71"/>
      <c r="H692" s="71"/>
      <c r="I692" s="71"/>
      <c r="J692" s="71"/>
    </row>
    <row r="693" spans="1:10">
      <c r="A693" s="71"/>
      <c r="B693" s="72"/>
      <c r="C693" s="71"/>
      <c r="D693" s="71"/>
      <c r="E693" s="71"/>
      <c r="F693" s="71"/>
      <c r="G693" s="71"/>
      <c r="H693" s="71"/>
      <c r="I693" s="71"/>
      <c r="J693" s="71"/>
    </row>
    <row r="694" spans="1:10">
      <c r="A694" s="71"/>
      <c r="B694" s="72"/>
      <c r="C694" s="71"/>
      <c r="D694" s="71"/>
      <c r="E694" s="71"/>
      <c r="F694" s="71"/>
      <c r="G694" s="71"/>
      <c r="H694" s="71"/>
      <c r="I694" s="71"/>
      <c r="J694" s="71"/>
    </row>
    <row r="695" spans="1:10">
      <c r="A695" s="71"/>
      <c r="B695" s="72"/>
      <c r="C695" s="71"/>
      <c r="D695" s="71"/>
      <c r="E695" s="71"/>
      <c r="F695" s="71"/>
      <c r="G695" s="71"/>
      <c r="H695" s="71"/>
      <c r="I695" s="71"/>
      <c r="J695" s="71"/>
    </row>
    <row r="696" spans="1:10">
      <c r="A696" s="71"/>
      <c r="B696" s="72"/>
      <c r="C696" s="71"/>
      <c r="D696" s="71"/>
      <c r="E696" s="71"/>
      <c r="F696" s="71"/>
      <c r="G696" s="71"/>
      <c r="H696" s="71"/>
      <c r="I696" s="71"/>
      <c r="J696" s="71"/>
    </row>
    <row r="697" spans="1:10">
      <c r="A697" s="71"/>
      <c r="B697" s="72"/>
      <c r="C697" s="71"/>
      <c r="D697" s="71"/>
      <c r="E697" s="71"/>
      <c r="F697" s="71"/>
      <c r="G697" s="71"/>
      <c r="H697" s="71"/>
      <c r="I697" s="71"/>
      <c r="J697" s="71"/>
    </row>
    <row r="698" spans="1:10">
      <c r="A698" s="71"/>
      <c r="B698" s="72"/>
      <c r="C698" s="71"/>
      <c r="D698" s="71"/>
      <c r="E698" s="71"/>
      <c r="F698" s="71"/>
      <c r="G698" s="71"/>
      <c r="H698" s="71"/>
      <c r="I698" s="71"/>
      <c r="J698" s="71"/>
    </row>
    <row r="699" spans="1:10">
      <c r="A699" s="71"/>
      <c r="B699" s="72"/>
      <c r="C699" s="71"/>
      <c r="D699" s="71"/>
      <c r="E699" s="71"/>
      <c r="F699" s="71"/>
      <c r="G699" s="71"/>
      <c r="H699" s="71"/>
      <c r="I699" s="71"/>
      <c r="J699" s="71"/>
    </row>
    <row r="700" spans="1:10">
      <c r="A700" s="71"/>
      <c r="B700" s="72"/>
      <c r="C700" s="71"/>
      <c r="D700" s="71"/>
      <c r="E700" s="71"/>
      <c r="F700" s="71"/>
      <c r="G700" s="71"/>
      <c r="H700" s="71"/>
      <c r="I700" s="71"/>
      <c r="J700" s="71"/>
    </row>
    <row r="701" spans="1:10">
      <c r="A701" s="71"/>
      <c r="B701" s="72"/>
      <c r="C701" s="71"/>
      <c r="D701" s="71"/>
      <c r="E701" s="71"/>
      <c r="F701" s="71"/>
      <c r="G701" s="71"/>
      <c r="H701" s="71"/>
      <c r="I701" s="71"/>
      <c r="J701" s="71"/>
    </row>
    <row r="702" spans="1:10">
      <c r="A702" s="71"/>
      <c r="B702" s="72"/>
      <c r="C702" s="71"/>
      <c r="D702" s="71"/>
      <c r="E702" s="71"/>
      <c r="F702" s="71"/>
      <c r="G702" s="71"/>
      <c r="H702" s="71"/>
      <c r="I702" s="71"/>
      <c r="J702" s="71"/>
    </row>
    <row r="703" spans="1:10">
      <c r="A703" s="71"/>
      <c r="B703" s="72"/>
      <c r="C703" s="71"/>
      <c r="D703" s="71"/>
      <c r="E703" s="71"/>
      <c r="F703" s="71"/>
      <c r="G703" s="71"/>
      <c r="H703" s="71"/>
      <c r="I703" s="71"/>
      <c r="J703" s="71"/>
    </row>
    <row r="704" spans="1:10">
      <c r="A704" s="71"/>
      <c r="B704" s="72"/>
      <c r="C704" s="71"/>
      <c r="D704" s="71"/>
      <c r="E704" s="71"/>
      <c r="F704" s="71"/>
      <c r="G704" s="71"/>
      <c r="H704" s="71"/>
      <c r="I704" s="71"/>
      <c r="J704" s="71"/>
    </row>
    <row r="705" spans="1:10">
      <c r="A705" s="71"/>
      <c r="B705" s="72"/>
      <c r="C705" s="71"/>
      <c r="D705" s="71"/>
      <c r="E705" s="71"/>
      <c r="F705" s="71"/>
      <c r="G705" s="71"/>
      <c r="H705" s="71"/>
      <c r="I705" s="71"/>
      <c r="J705" s="71"/>
    </row>
    <row r="706" spans="1:10">
      <c r="A706" s="71"/>
      <c r="B706" s="72"/>
      <c r="C706" s="71"/>
      <c r="D706" s="71"/>
      <c r="E706" s="71"/>
      <c r="F706" s="71"/>
      <c r="G706" s="71"/>
      <c r="H706" s="71"/>
      <c r="I706" s="71"/>
      <c r="J706" s="71"/>
    </row>
    <row r="707" spans="1:10">
      <c r="A707" s="71"/>
      <c r="B707" s="72"/>
      <c r="C707" s="71"/>
      <c r="D707" s="71"/>
      <c r="E707" s="71"/>
      <c r="F707" s="71"/>
      <c r="G707" s="71"/>
      <c r="H707" s="71"/>
      <c r="I707" s="71"/>
      <c r="J707" s="71"/>
    </row>
    <row r="708" spans="1:10">
      <c r="A708" s="71"/>
      <c r="B708" s="72"/>
      <c r="C708" s="71"/>
      <c r="D708" s="71"/>
      <c r="E708" s="71"/>
      <c r="F708" s="71"/>
      <c r="G708" s="71"/>
      <c r="H708" s="71"/>
      <c r="I708" s="71"/>
      <c r="J708" s="71"/>
    </row>
    <row r="709" spans="1:10">
      <c r="A709" s="71"/>
      <c r="B709" s="72"/>
      <c r="C709" s="71"/>
      <c r="D709" s="71"/>
      <c r="E709" s="71"/>
      <c r="F709" s="71"/>
      <c r="G709" s="71"/>
      <c r="H709" s="71"/>
      <c r="I709" s="71"/>
      <c r="J709" s="71"/>
    </row>
    <row r="710" spans="1:10">
      <c r="A710" s="71"/>
      <c r="B710" s="72"/>
      <c r="C710" s="71"/>
      <c r="D710" s="71"/>
      <c r="E710" s="71"/>
      <c r="F710" s="71"/>
      <c r="G710" s="71"/>
      <c r="H710" s="71"/>
      <c r="I710" s="71"/>
      <c r="J710" s="71"/>
    </row>
    <row r="711" spans="1:10">
      <c r="A711" s="71"/>
      <c r="B711" s="72"/>
      <c r="C711" s="71"/>
      <c r="D711" s="71"/>
      <c r="E711" s="71"/>
      <c r="F711" s="71"/>
      <c r="G711" s="71"/>
      <c r="H711" s="71"/>
      <c r="I711" s="71"/>
      <c r="J711" s="71"/>
    </row>
    <row r="712" spans="1:10">
      <c r="A712" s="71"/>
      <c r="B712" s="72"/>
      <c r="C712" s="71"/>
      <c r="D712" s="71"/>
      <c r="E712" s="71"/>
      <c r="F712" s="71"/>
      <c r="G712" s="71"/>
      <c r="H712" s="71"/>
      <c r="I712" s="71"/>
      <c r="J712" s="71"/>
    </row>
    <row r="713" spans="1:10">
      <c r="A713" s="71"/>
      <c r="B713" s="72"/>
      <c r="C713" s="71"/>
      <c r="D713" s="71"/>
      <c r="E713" s="71"/>
      <c r="F713" s="71"/>
      <c r="G713" s="71"/>
      <c r="H713" s="71"/>
      <c r="I713" s="71"/>
      <c r="J713" s="71"/>
    </row>
    <row r="714" spans="1:10">
      <c r="A714" s="71"/>
      <c r="B714" s="72"/>
      <c r="C714" s="71"/>
      <c r="D714" s="71"/>
      <c r="E714" s="71"/>
      <c r="F714" s="71"/>
      <c r="G714" s="71"/>
      <c r="H714" s="71"/>
      <c r="I714" s="71"/>
      <c r="J714" s="71"/>
    </row>
    <row r="715" spans="1:10">
      <c r="A715" s="71"/>
      <c r="B715" s="72"/>
      <c r="C715" s="71"/>
      <c r="D715" s="71"/>
      <c r="E715" s="71"/>
      <c r="F715" s="71"/>
      <c r="G715" s="71"/>
      <c r="H715" s="71"/>
      <c r="I715" s="71"/>
      <c r="J715" s="71"/>
    </row>
    <row r="716" spans="1:10">
      <c r="A716" s="71"/>
      <c r="B716" s="72"/>
      <c r="C716" s="71"/>
      <c r="D716" s="71"/>
      <c r="E716" s="71"/>
      <c r="F716" s="71"/>
      <c r="G716" s="71"/>
      <c r="H716" s="71"/>
      <c r="I716" s="71"/>
      <c r="J716" s="71"/>
    </row>
    <row r="717" spans="1:10">
      <c r="A717" s="71"/>
      <c r="B717" s="72"/>
      <c r="C717" s="71"/>
      <c r="D717" s="71"/>
      <c r="E717" s="71"/>
      <c r="F717" s="71"/>
      <c r="G717" s="71"/>
      <c r="H717" s="71"/>
      <c r="I717" s="71"/>
      <c r="J717" s="71"/>
    </row>
    <row r="718" spans="1:10">
      <c r="A718" s="71"/>
      <c r="B718" s="72"/>
      <c r="C718" s="71"/>
      <c r="D718" s="71"/>
      <c r="E718" s="71"/>
      <c r="F718" s="71"/>
      <c r="G718" s="71"/>
      <c r="H718" s="71"/>
      <c r="I718" s="71"/>
      <c r="J718" s="71"/>
    </row>
    <row r="719" spans="1:10">
      <c r="A719" s="71"/>
      <c r="B719" s="72"/>
      <c r="C719" s="71"/>
      <c r="D719" s="71"/>
      <c r="E719" s="71"/>
      <c r="F719" s="71"/>
      <c r="G719" s="71"/>
      <c r="H719" s="71"/>
      <c r="I719" s="71"/>
      <c r="J719" s="71"/>
    </row>
    <row r="720" spans="1:10">
      <c r="A720" s="71"/>
      <c r="B720" s="72"/>
      <c r="C720" s="71"/>
      <c r="D720" s="71"/>
      <c r="E720" s="71"/>
      <c r="F720" s="71"/>
      <c r="G720" s="71"/>
      <c r="H720" s="71"/>
      <c r="I720" s="71"/>
      <c r="J720" s="71"/>
    </row>
    <row r="721" spans="1:10">
      <c r="A721" s="71"/>
      <c r="B721" s="72"/>
      <c r="C721" s="71"/>
      <c r="D721" s="71"/>
      <c r="E721" s="71"/>
      <c r="F721" s="71"/>
      <c r="G721" s="71"/>
      <c r="H721" s="71"/>
      <c r="I721" s="71"/>
      <c r="J721" s="71"/>
    </row>
    <row r="722" spans="1:10">
      <c r="A722" s="71"/>
      <c r="B722" s="72"/>
      <c r="C722" s="71"/>
      <c r="D722" s="71"/>
      <c r="E722" s="71"/>
      <c r="F722" s="71"/>
      <c r="G722" s="71"/>
      <c r="H722" s="71"/>
      <c r="I722" s="71"/>
      <c r="J722" s="71"/>
    </row>
    <row r="723" spans="1:10">
      <c r="A723" s="71"/>
      <c r="B723" s="72"/>
      <c r="C723" s="71"/>
      <c r="D723" s="71"/>
      <c r="E723" s="71"/>
      <c r="F723" s="71"/>
      <c r="G723" s="71"/>
      <c r="H723" s="71"/>
      <c r="I723" s="71"/>
      <c r="J723" s="71"/>
    </row>
    <row r="724" spans="1:10">
      <c r="A724" s="71"/>
      <c r="B724" s="72"/>
      <c r="C724" s="71"/>
      <c r="D724" s="71"/>
      <c r="E724" s="71"/>
      <c r="F724" s="71"/>
      <c r="G724" s="71"/>
      <c r="H724" s="71"/>
      <c r="I724" s="71"/>
      <c r="J724" s="71"/>
    </row>
    <row r="725" spans="1:10">
      <c r="A725" s="71"/>
      <c r="B725" s="72"/>
      <c r="C725" s="71"/>
      <c r="D725" s="71"/>
      <c r="E725" s="71"/>
      <c r="F725" s="71"/>
      <c r="G725" s="71"/>
      <c r="H725" s="71"/>
      <c r="I725" s="71"/>
      <c r="J725" s="71"/>
    </row>
    <row r="726" spans="1:10">
      <c r="A726" s="71"/>
      <c r="B726" s="72"/>
      <c r="C726" s="71"/>
      <c r="D726" s="71"/>
      <c r="E726" s="71"/>
      <c r="F726" s="71"/>
      <c r="G726" s="71"/>
      <c r="H726" s="71"/>
      <c r="I726" s="71"/>
      <c r="J726" s="71"/>
    </row>
    <row r="727" spans="1:10">
      <c r="A727" s="71"/>
      <c r="B727" s="72"/>
      <c r="C727" s="71"/>
      <c r="D727" s="71"/>
      <c r="E727" s="71"/>
      <c r="F727" s="71"/>
      <c r="G727" s="71"/>
      <c r="H727" s="71"/>
      <c r="I727" s="71"/>
      <c r="J727" s="71"/>
    </row>
    <row r="728" spans="1:10">
      <c r="A728" s="71"/>
      <c r="B728" s="72"/>
      <c r="C728" s="71"/>
      <c r="D728" s="71"/>
      <c r="E728" s="71"/>
      <c r="F728" s="71"/>
      <c r="G728" s="71"/>
      <c r="H728" s="71"/>
      <c r="I728" s="71"/>
      <c r="J728" s="71"/>
    </row>
    <row r="729" spans="1:10">
      <c r="A729" s="71"/>
      <c r="B729" s="72"/>
      <c r="C729" s="71"/>
      <c r="D729" s="71"/>
      <c r="E729" s="71"/>
      <c r="F729" s="71"/>
      <c r="G729" s="71"/>
      <c r="H729" s="71"/>
      <c r="I729" s="71"/>
      <c r="J729" s="71"/>
    </row>
    <row r="730" spans="1:10">
      <c r="A730" s="71"/>
      <c r="B730" s="72"/>
      <c r="C730" s="71"/>
      <c r="D730" s="71"/>
      <c r="E730" s="71"/>
      <c r="F730" s="71"/>
      <c r="G730" s="71"/>
      <c r="H730" s="71"/>
      <c r="I730" s="71"/>
      <c r="J730" s="71"/>
    </row>
    <row r="731" spans="1:10">
      <c r="A731" s="71"/>
      <c r="B731" s="72"/>
      <c r="C731" s="71"/>
      <c r="D731" s="71"/>
      <c r="E731" s="71"/>
      <c r="F731" s="71"/>
      <c r="G731" s="71"/>
      <c r="H731" s="71"/>
      <c r="I731" s="71"/>
      <c r="J731" s="71"/>
    </row>
    <row r="732" spans="1:10">
      <c r="A732" s="71"/>
      <c r="B732" s="72"/>
      <c r="C732" s="71"/>
      <c r="D732" s="71"/>
      <c r="E732" s="71"/>
      <c r="F732" s="71"/>
      <c r="G732" s="71"/>
      <c r="H732" s="71"/>
      <c r="I732" s="71"/>
      <c r="J732" s="71"/>
    </row>
    <row r="733" spans="1:10">
      <c r="A733" s="71"/>
      <c r="B733" s="72"/>
      <c r="C733" s="71"/>
      <c r="D733" s="71"/>
      <c r="E733" s="71"/>
      <c r="F733" s="71"/>
      <c r="G733" s="71"/>
      <c r="H733" s="71"/>
      <c r="I733" s="71"/>
      <c r="J733" s="71"/>
    </row>
    <row r="734" spans="1:10">
      <c r="A734" s="71"/>
      <c r="B734" s="72"/>
      <c r="C734" s="71"/>
      <c r="D734" s="71"/>
      <c r="E734" s="71"/>
      <c r="F734" s="71"/>
      <c r="G734" s="71"/>
      <c r="H734" s="71"/>
      <c r="I734" s="71"/>
      <c r="J734" s="71"/>
    </row>
    <row r="735" spans="1:10">
      <c r="A735" s="71"/>
      <c r="B735" s="72"/>
      <c r="C735" s="71"/>
      <c r="D735" s="71"/>
      <c r="E735" s="71"/>
      <c r="F735" s="71"/>
      <c r="G735" s="71"/>
      <c r="H735" s="71"/>
      <c r="I735" s="71"/>
      <c r="J735" s="71"/>
    </row>
    <row r="736" spans="1:10">
      <c r="A736" s="71"/>
      <c r="B736" s="72"/>
      <c r="C736" s="71"/>
      <c r="D736" s="71"/>
      <c r="E736" s="71"/>
      <c r="F736" s="71"/>
      <c r="G736" s="71"/>
      <c r="H736" s="71"/>
      <c r="I736" s="71"/>
      <c r="J736" s="71"/>
    </row>
    <row r="737" spans="1:10">
      <c r="A737" s="71"/>
      <c r="B737" s="72"/>
      <c r="C737" s="71"/>
      <c r="D737" s="71"/>
      <c r="E737" s="71"/>
      <c r="F737" s="71"/>
      <c r="G737" s="71"/>
      <c r="H737" s="71"/>
      <c r="I737" s="71"/>
      <c r="J737" s="71"/>
    </row>
    <row r="738" spans="1:10">
      <c r="A738" s="71"/>
      <c r="B738" s="72"/>
      <c r="C738" s="71"/>
      <c r="D738" s="71"/>
      <c r="E738" s="71"/>
      <c r="F738" s="71"/>
      <c r="G738" s="71"/>
      <c r="H738" s="71"/>
      <c r="I738" s="71"/>
      <c r="J738" s="71"/>
    </row>
    <row r="739" spans="1:10">
      <c r="A739" s="71"/>
      <c r="B739" s="72"/>
      <c r="C739" s="71"/>
      <c r="D739" s="71"/>
      <c r="E739" s="71"/>
      <c r="F739" s="71"/>
      <c r="G739" s="71"/>
      <c r="H739" s="71"/>
      <c r="I739" s="71"/>
      <c r="J739" s="71"/>
    </row>
    <row r="740" spans="1:10">
      <c r="A740" s="71"/>
      <c r="B740" s="72"/>
      <c r="C740" s="71"/>
      <c r="D740" s="71"/>
      <c r="E740" s="71"/>
      <c r="F740" s="71"/>
      <c r="G740" s="71"/>
      <c r="H740" s="71"/>
      <c r="I740" s="71"/>
      <c r="J740" s="71"/>
    </row>
    <row r="741" spans="1:10">
      <c r="A741" s="71"/>
      <c r="B741" s="72"/>
      <c r="C741" s="71"/>
      <c r="D741" s="71"/>
      <c r="E741" s="71"/>
      <c r="F741" s="71"/>
      <c r="G741" s="71"/>
      <c r="H741" s="71"/>
      <c r="I741" s="71"/>
      <c r="J741" s="71"/>
    </row>
    <row r="742" spans="1:10">
      <c r="A742" s="71"/>
      <c r="B742" s="72"/>
      <c r="C742" s="71"/>
      <c r="D742" s="71"/>
      <c r="E742" s="71"/>
      <c r="F742" s="71"/>
      <c r="G742" s="71"/>
      <c r="H742" s="71"/>
      <c r="I742" s="71"/>
      <c r="J742" s="71"/>
    </row>
    <row r="743" spans="1:10">
      <c r="A743" s="71"/>
      <c r="B743" s="72"/>
      <c r="C743" s="71"/>
      <c r="D743" s="71"/>
      <c r="E743" s="71"/>
      <c r="F743" s="71"/>
      <c r="G743" s="71"/>
      <c r="H743" s="71"/>
      <c r="I743" s="71"/>
      <c r="J743" s="71"/>
    </row>
    <row r="744" spans="1:10">
      <c r="A744" s="71"/>
      <c r="B744" s="72"/>
      <c r="C744" s="71"/>
      <c r="D744" s="71"/>
      <c r="E744" s="71"/>
      <c r="F744" s="71"/>
      <c r="G744" s="71"/>
      <c r="H744" s="71"/>
      <c r="I744" s="71"/>
      <c r="J744" s="71"/>
    </row>
    <row r="745" spans="1:10">
      <c r="A745" s="71"/>
      <c r="B745" s="72"/>
      <c r="C745" s="71"/>
      <c r="D745" s="71"/>
      <c r="E745" s="71"/>
      <c r="F745" s="71"/>
      <c r="G745" s="71"/>
      <c r="H745" s="71"/>
      <c r="I745" s="71"/>
      <c r="J745" s="71"/>
    </row>
    <row r="746" spans="1:10">
      <c r="A746" s="71"/>
      <c r="B746" s="72"/>
      <c r="C746" s="71"/>
      <c r="D746" s="71"/>
      <c r="E746" s="71"/>
      <c r="F746" s="71"/>
      <c r="G746" s="71"/>
      <c r="H746" s="71"/>
      <c r="I746" s="71"/>
      <c r="J746" s="71"/>
    </row>
    <row r="747" spans="1:10">
      <c r="A747" s="71"/>
      <c r="B747" s="72"/>
      <c r="C747" s="71"/>
      <c r="D747" s="71"/>
      <c r="E747" s="71"/>
      <c r="F747" s="71"/>
      <c r="G747" s="71"/>
      <c r="H747" s="71"/>
      <c r="I747" s="71"/>
      <c r="J747" s="71"/>
    </row>
    <row r="748" spans="1:10">
      <c r="A748" s="71"/>
      <c r="B748" s="72"/>
      <c r="C748" s="71"/>
      <c r="D748" s="71"/>
      <c r="E748" s="71"/>
      <c r="F748" s="71"/>
      <c r="G748" s="71"/>
      <c r="H748" s="71"/>
      <c r="I748" s="71"/>
      <c r="J748" s="71"/>
    </row>
    <row r="749" spans="1:10">
      <c r="A749" s="71"/>
      <c r="B749" s="72"/>
      <c r="C749" s="71"/>
      <c r="D749" s="71"/>
      <c r="E749" s="71"/>
      <c r="F749" s="71"/>
      <c r="G749" s="71"/>
      <c r="H749" s="71"/>
      <c r="I749" s="71"/>
      <c r="J749" s="71"/>
    </row>
    <row r="750" spans="1:10">
      <c r="A750" s="71"/>
      <c r="B750" s="72"/>
      <c r="C750" s="71"/>
      <c r="D750" s="71"/>
      <c r="E750" s="71"/>
      <c r="F750" s="71"/>
      <c r="G750" s="71"/>
      <c r="H750" s="71"/>
      <c r="I750" s="71"/>
      <c r="J750" s="71"/>
    </row>
    <row r="751" spans="1:10">
      <c r="A751" s="71"/>
      <c r="B751" s="72"/>
      <c r="C751" s="71"/>
      <c r="D751" s="71"/>
      <c r="E751" s="71"/>
      <c r="F751" s="71"/>
      <c r="G751" s="71"/>
      <c r="H751" s="71"/>
      <c r="I751" s="71"/>
      <c r="J751" s="71"/>
    </row>
    <row r="752" spans="1:10">
      <c r="A752" s="71"/>
      <c r="B752" s="72"/>
      <c r="C752" s="71"/>
      <c r="D752" s="71"/>
      <c r="E752" s="71"/>
      <c r="F752" s="71"/>
      <c r="G752" s="71"/>
      <c r="H752" s="71"/>
      <c r="I752" s="71"/>
      <c r="J752" s="71"/>
    </row>
    <row r="753" spans="1:10">
      <c r="A753" s="71"/>
      <c r="B753" s="72"/>
      <c r="C753" s="71"/>
      <c r="D753" s="71"/>
      <c r="E753" s="71"/>
      <c r="F753" s="71"/>
      <c r="G753" s="71"/>
      <c r="H753" s="71"/>
      <c r="I753" s="71"/>
      <c r="J753" s="71"/>
    </row>
    <row r="754" spans="1:10">
      <c r="A754" s="71"/>
      <c r="B754" s="72"/>
      <c r="C754" s="71"/>
      <c r="D754" s="71"/>
      <c r="E754" s="71"/>
      <c r="F754" s="71"/>
      <c r="G754" s="71"/>
      <c r="H754" s="71"/>
      <c r="I754" s="71"/>
      <c r="J754" s="71"/>
    </row>
    <row r="755" spans="1:10">
      <c r="A755" s="71"/>
      <c r="B755" s="72"/>
      <c r="C755" s="71"/>
      <c r="D755" s="71"/>
      <c r="E755" s="71"/>
      <c r="F755" s="71"/>
      <c r="G755" s="71"/>
      <c r="H755" s="71"/>
      <c r="I755" s="71"/>
      <c r="J755" s="71"/>
    </row>
    <row r="756" spans="1:10">
      <c r="A756" s="71"/>
      <c r="B756" s="72"/>
      <c r="C756" s="71"/>
      <c r="D756" s="71"/>
      <c r="E756" s="71"/>
      <c r="F756" s="71"/>
      <c r="G756" s="71"/>
      <c r="H756" s="71"/>
      <c r="I756" s="71"/>
      <c r="J756" s="71"/>
    </row>
    <row r="757" spans="1:10">
      <c r="A757" s="71"/>
      <c r="B757" s="72"/>
      <c r="C757" s="71"/>
      <c r="D757" s="71"/>
      <c r="E757" s="71"/>
      <c r="F757" s="71"/>
      <c r="G757" s="71"/>
      <c r="H757" s="71"/>
      <c r="I757" s="71"/>
      <c r="J757" s="71"/>
    </row>
    <row r="758" spans="1:10">
      <c r="A758" s="71"/>
      <c r="B758" s="72"/>
      <c r="C758" s="71"/>
      <c r="D758" s="71"/>
      <c r="E758" s="71"/>
      <c r="F758" s="71"/>
      <c r="G758" s="71"/>
      <c r="H758" s="71"/>
      <c r="I758" s="71"/>
      <c r="J758" s="71"/>
    </row>
    <row r="759" spans="1:10">
      <c r="A759" s="71"/>
      <c r="B759" s="72"/>
      <c r="C759" s="71"/>
      <c r="D759" s="71"/>
      <c r="E759" s="71"/>
      <c r="F759" s="71"/>
      <c r="G759" s="71"/>
      <c r="H759" s="71"/>
      <c r="I759" s="71"/>
      <c r="J759" s="71"/>
    </row>
    <row r="760" spans="1:10">
      <c r="A760" s="71"/>
      <c r="B760" s="72"/>
      <c r="C760" s="71"/>
      <c r="D760" s="71"/>
      <c r="E760" s="71"/>
      <c r="F760" s="71"/>
      <c r="G760" s="71"/>
      <c r="H760" s="71"/>
      <c r="I760" s="71"/>
      <c r="J760" s="71"/>
    </row>
    <row r="761" spans="1:10">
      <c r="A761" s="71"/>
      <c r="B761" s="72"/>
      <c r="C761" s="71"/>
      <c r="D761" s="71"/>
      <c r="E761" s="71"/>
      <c r="F761" s="71"/>
      <c r="G761" s="71"/>
      <c r="H761" s="71"/>
      <c r="I761" s="71"/>
      <c r="J761" s="71"/>
    </row>
    <row r="762" spans="1:10">
      <c r="A762" s="71"/>
      <c r="B762" s="72"/>
      <c r="C762" s="71"/>
      <c r="D762" s="71"/>
      <c r="E762" s="71"/>
      <c r="F762" s="71"/>
      <c r="G762" s="71"/>
      <c r="H762" s="71"/>
      <c r="I762" s="71"/>
      <c r="J762" s="71"/>
    </row>
    <row r="763" spans="1:10">
      <c r="A763" s="71"/>
      <c r="B763" s="72"/>
      <c r="C763" s="71"/>
      <c r="D763" s="71"/>
      <c r="E763" s="71"/>
      <c r="F763" s="71"/>
      <c r="G763" s="71"/>
      <c r="H763" s="71"/>
      <c r="I763" s="71"/>
      <c r="J763" s="71"/>
    </row>
    <row r="764" spans="1:10">
      <c r="A764" s="71"/>
      <c r="B764" s="72"/>
      <c r="C764" s="71"/>
      <c r="D764" s="71"/>
      <c r="E764" s="71"/>
      <c r="F764" s="71"/>
      <c r="G764" s="71"/>
      <c r="H764" s="71"/>
      <c r="I764" s="71"/>
      <c r="J764" s="71"/>
    </row>
    <row r="765" spans="1:10">
      <c r="A765" s="71"/>
      <c r="B765" s="72"/>
      <c r="C765" s="71"/>
      <c r="D765" s="71"/>
      <c r="E765" s="71"/>
      <c r="F765" s="71"/>
      <c r="G765" s="71"/>
      <c r="H765" s="71"/>
      <c r="I765" s="71"/>
      <c r="J765" s="71"/>
    </row>
    <row r="766" spans="1:10">
      <c r="A766" s="71"/>
      <c r="B766" s="72"/>
      <c r="C766" s="71"/>
      <c r="D766" s="71"/>
      <c r="E766" s="71"/>
      <c r="F766" s="71"/>
      <c r="G766" s="71"/>
      <c r="H766" s="71"/>
      <c r="I766" s="71"/>
      <c r="J766" s="71"/>
    </row>
    <row r="767" spans="1:10">
      <c r="A767" s="71"/>
      <c r="B767" s="72"/>
      <c r="C767" s="71"/>
      <c r="D767" s="71"/>
      <c r="E767" s="71"/>
      <c r="F767" s="71"/>
      <c r="G767" s="71"/>
      <c r="H767" s="71"/>
      <c r="I767" s="71"/>
      <c r="J767" s="71"/>
    </row>
    <row r="768" spans="1:10">
      <c r="A768" s="71"/>
      <c r="B768" s="72"/>
      <c r="C768" s="71"/>
      <c r="D768" s="71"/>
      <c r="E768" s="71"/>
      <c r="F768" s="71"/>
      <c r="G768" s="71"/>
      <c r="H768" s="71"/>
      <c r="I768" s="71"/>
      <c r="J768" s="71"/>
    </row>
    <row r="769" spans="1:10">
      <c r="A769" s="71"/>
      <c r="B769" s="72"/>
      <c r="C769" s="71"/>
      <c r="D769" s="71"/>
      <c r="E769" s="71"/>
      <c r="F769" s="71"/>
      <c r="G769" s="71"/>
      <c r="H769" s="71"/>
      <c r="I769" s="71"/>
      <c r="J769" s="71"/>
    </row>
    <row r="770" spans="1:10">
      <c r="A770" s="71"/>
      <c r="B770" s="72"/>
      <c r="C770" s="71"/>
      <c r="D770" s="71"/>
      <c r="E770" s="71"/>
      <c r="F770" s="71"/>
      <c r="G770" s="71"/>
      <c r="H770" s="71"/>
      <c r="I770" s="71"/>
      <c r="J770" s="71"/>
    </row>
    <row r="771" spans="1:10">
      <c r="A771" s="71"/>
      <c r="B771" s="72"/>
      <c r="C771" s="71"/>
      <c r="D771" s="71"/>
      <c r="E771" s="71"/>
      <c r="F771" s="71"/>
      <c r="G771" s="71"/>
      <c r="H771" s="71"/>
      <c r="I771" s="71"/>
      <c r="J771" s="71"/>
    </row>
    <row r="772" spans="1:10">
      <c r="A772" s="71"/>
      <c r="B772" s="72"/>
      <c r="C772" s="71"/>
      <c r="D772" s="71"/>
      <c r="E772" s="71"/>
      <c r="F772" s="71"/>
      <c r="G772" s="71"/>
      <c r="H772" s="71"/>
      <c r="I772" s="71"/>
      <c r="J772" s="71"/>
    </row>
    <row r="773" spans="1:10">
      <c r="A773" s="71"/>
      <c r="B773" s="72"/>
      <c r="C773" s="71"/>
      <c r="D773" s="71"/>
      <c r="E773" s="71"/>
      <c r="F773" s="71"/>
      <c r="G773" s="71"/>
      <c r="H773" s="71"/>
      <c r="I773" s="71"/>
      <c r="J773" s="71"/>
    </row>
    <row r="774" spans="1:10">
      <c r="A774" s="71"/>
      <c r="B774" s="72"/>
      <c r="C774" s="71"/>
      <c r="D774" s="71"/>
      <c r="E774" s="71"/>
      <c r="F774" s="71"/>
      <c r="G774" s="71"/>
      <c r="H774" s="71"/>
      <c r="I774" s="71"/>
      <c r="J774" s="71"/>
    </row>
    <row r="775" spans="1:10">
      <c r="A775" s="71"/>
      <c r="B775" s="72"/>
      <c r="C775" s="71"/>
      <c r="D775" s="71"/>
      <c r="E775" s="71"/>
      <c r="F775" s="71"/>
      <c r="G775" s="71"/>
      <c r="H775" s="71"/>
      <c r="I775" s="71"/>
      <c r="J775" s="71"/>
    </row>
    <row r="776" spans="1:10">
      <c r="A776" s="71"/>
      <c r="B776" s="72"/>
      <c r="C776" s="71"/>
      <c r="D776" s="71"/>
      <c r="E776" s="71"/>
      <c r="F776" s="71"/>
      <c r="G776" s="71"/>
      <c r="H776" s="71"/>
      <c r="I776" s="71"/>
      <c r="J776" s="71"/>
    </row>
    <row r="777" spans="1:10">
      <c r="A777" s="71"/>
      <c r="B777" s="72"/>
      <c r="C777" s="71"/>
      <c r="D777" s="71"/>
      <c r="E777" s="71"/>
      <c r="F777" s="71"/>
      <c r="G777" s="71"/>
      <c r="H777" s="71"/>
      <c r="I777" s="71"/>
      <c r="J777" s="71"/>
    </row>
    <row r="778" spans="1:10">
      <c r="A778" s="71"/>
      <c r="B778" s="72"/>
      <c r="C778" s="71"/>
      <c r="D778" s="71"/>
      <c r="E778" s="71"/>
      <c r="F778" s="71"/>
      <c r="G778" s="71"/>
      <c r="H778" s="71"/>
      <c r="I778" s="71"/>
      <c r="J778" s="71"/>
    </row>
    <row r="779" spans="1:10">
      <c r="A779" s="71"/>
      <c r="B779" s="72"/>
      <c r="C779" s="71"/>
      <c r="D779" s="71"/>
      <c r="E779" s="71"/>
      <c r="F779" s="71"/>
      <c r="G779" s="71"/>
      <c r="H779" s="71"/>
      <c r="I779" s="71"/>
      <c r="J779" s="71"/>
    </row>
    <row r="780" spans="1:10">
      <c r="A780" s="71"/>
      <c r="B780" s="72"/>
      <c r="C780" s="71"/>
      <c r="D780" s="71"/>
      <c r="E780" s="71"/>
      <c r="F780" s="71"/>
      <c r="G780" s="71"/>
      <c r="H780" s="71"/>
      <c r="I780" s="71"/>
      <c r="J780" s="71"/>
    </row>
    <row r="781" spans="1:10">
      <c r="A781" s="71"/>
      <c r="B781" s="72"/>
      <c r="C781" s="71"/>
      <c r="D781" s="71"/>
      <c r="E781" s="71"/>
      <c r="F781" s="71"/>
      <c r="G781" s="71"/>
      <c r="H781" s="71"/>
      <c r="I781" s="71"/>
      <c r="J781" s="71"/>
    </row>
    <row r="782" spans="1:10">
      <c r="A782" s="71"/>
      <c r="B782" s="72"/>
      <c r="C782" s="71"/>
      <c r="D782" s="71"/>
      <c r="E782" s="71"/>
      <c r="F782" s="71"/>
      <c r="G782" s="71"/>
      <c r="H782" s="71"/>
      <c r="I782" s="71"/>
      <c r="J782" s="71"/>
    </row>
    <row r="783" spans="1:10">
      <c r="A783" s="71"/>
      <c r="B783" s="72"/>
      <c r="C783" s="71"/>
      <c r="D783" s="71"/>
      <c r="E783" s="71"/>
      <c r="F783" s="71"/>
      <c r="G783" s="71"/>
      <c r="H783" s="71"/>
      <c r="I783" s="71"/>
      <c r="J783" s="71"/>
    </row>
    <row r="784" spans="1:10">
      <c r="A784" s="71"/>
      <c r="B784" s="72"/>
      <c r="C784" s="71"/>
      <c r="D784" s="71"/>
      <c r="E784" s="71"/>
      <c r="F784" s="71"/>
      <c r="G784" s="71"/>
      <c r="H784" s="71"/>
      <c r="I784" s="71"/>
      <c r="J784" s="71"/>
    </row>
    <row r="785" spans="1:10">
      <c r="A785" s="71"/>
      <c r="B785" s="72"/>
      <c r="C785" s="71"/>
      <c r="D785" s="71"/>
      <c r="E785" s="71"/>
      <c r="F785" s="71"/>
      <c r="G785" s="71"/>
      <c r="H785" s="71"/>
      <c r="I785" s="71"/>
      <c r="J785" s="71"/>
    </row>
    <row r="786" spans="1:10">
      <c r="A786" s="71"/>
      <c r="B786" s="72"/>
      <c r="C786" s="71"/>
      <c r="D786" s="71"/>
      <c r="E786" s="71"/>
      <c r="F786" s="71"/>
      <c r="G786" s="71"/>
      <c r="H786" s="71"/>
      <c r="I786" s="71"/>
      <c r="J786" s="71"/>
    </row>
    <row r="787" spans="1:10">
      <c r="A787" s="71"/>
      <c r="B787" s="72"/>
      <c r="C787" s="71"/>
      <c r="D787" s="71"/>
      <c r="E787" s="71"/>
      <c r="F787" s="71"/>
      <c r="G787" s="71"/>
      <c r="H787" s="71"/>
      <c r="I787" s="71"/>
      <c r="J787" s="71"/>
    </row>
    <row r="788" spans="1:10">
      <c r="A788" s="71"/>
      <c r="B788" s="72"/>
      <c r="C788" s="71"/>
      <c r="D788" s="71"/>
      <c r="E788" s="71"/>
      <c r="F788" s="71"/>
      <c r="G788" s="71"/>
      <c r="H788" s="71"/>
      <c r="I788" s="71"/>
      <c r="J788" s="71"/>
    </row>
    <row r="789" spans="1:10">
      <c r="A789" s="71"/>
      <c r="B789" s="72"/>
      <c r="C789" s="71"/>
      <c r="D789" s="71"/>
      <c r="E789" s="71"/>
      <c r="F789" s="71"/>
      <c r="G789" s="71"/>
      <c r="H789" s="71"/>
      <c r="I789" s="71"/>
      <c r="J789" s="71"/>
    </row>
    <row r="790" spans="1:10">
      <c r="A790" s="71"/>
      <c r="B790" s="72"/>
      <c r="C790" s="71"/>
      <c r="D790" s="71"/>
      <c r="E790" s="71"/>
      <c r="F790" s="71"/>
      <c r="G790" s="71"/>
      <c r="H790" s="71"/>
      <c r="I790" s="71"/>
      <c r="J790" s="71"/>
    </row>
    <row r="791" spans="1:10">
      <c r="A791" s="71"/>
      <c r="B791" s="72"/>
      <c r="C791" s="71"/>
      <c r="D791" s="71"/>
      <c r="E791" s="71"/>
      <c r="F791" s="71"/>
      <c r="G791" s="71"/>
      <c r="H791" s="71"/>
      <c r="I791" s="71"/>
      <c r="J791" s="71"/>
    </row>
    <row r="792" spans="1:10">
      <c r="A792" s="71"/>
      <c r="B792" s="72"/>
      <c r="C792" s="71"/>
      <c r="D792" s="71"/>
      <c r="E792" s="71"/>
      <c r="F792" s="71"/>
      <c r="G792" s="71"/>
      <c r="H792" s="71"/>
      <c r="I792" s="71"/>
      <c r="J792" s="71"/>
    </row>
    <row r="793" spans="1:10">
      <c r="A793" s="71"/>
      <c r="B793" s="72"/>
      <c r="C793" s="71"/>
      <c r="D793" s="71"/>
      <c r="E793" s="71"/>
      <c r="F793" s="71"/>
      <c r="G793" s="71"/>
      <c r="H793" s="71"/>
      <c r="I793" s="71"/>
      <c r="J793" s="71"/>
    </row>
    <row r="794" spans="1:10">
      <c r="A794" s="71"/>
      <c r="B794" s="72"/>
      <c r="C794" s="71"/>
      <c r="D794" s="71"/>
      <c r="E794" s="71"/>
      <c r="F794" s="71"/>
      <c r="G794" s="71"/>
      <c r="H794" s="71"/>
      <c r="I794" s="71"/>
      <c r="J794" s="71"/>
    </row>
    <row r="795" spans="1:10">
      <c r="A795" s="71"/>
      <c r="B795" s="72"/>
      <c r="C795" s="71"/>
      <c r="D795" s="71"/>
      <c r="E795" s="71"/>
      <c r="F795" s="71"/>
      <c r="G795" s="71"/>
      <c r="H795" s="71"/>
      <c r="I795" s="71"/>
      <c r="J795" s="71"/>
    </row>
    <row r="796" spans="1:10">
      <c r="A796" s="71"/>
      <c r="B796" s="72"/>
      <c r="C796" s="71"/>
      <c r="D796" s="71"/>
      <c r="E796" s="71"/>
      <c r="F796" s="71"/>
      <c r="G796" s="71"/>
      <c r="H796" s="71"/>
      <c r="I796" s="71"/>
      <c r="J796" s="71"/>
    </row>
    <row r="797" spans="1:10">
      <c r="A797" s="71"/>
      <c r="B797" s="72"/>
      <c r="C797" s="71"/>
      <c r="D797" s="71"/>
      <c r="E797" s="71"/>
      <c r="F797" s="71"/>
      <c r="G797" s="71"/>
      <c r="H797" s="71"/>
      <c r="I797" s="71"/>
      <c r="J797" s="71"/>
    </row>
    <row r="798" spans="1:10">
      <c r="A798" s="71"/>
      <c r="B798" s="72"/>
      <c r="C798" s="71"/>
      <c r="D798" s="71"/>
      <c r="E798" s="71"/>
      <c r="F798" s="71"/>
      <c r="G798" s="71"/>
      <c r="H798" s="71"/>
      <c r="I798" s="71"/>
      <c r="J798" s="71"/>
    </row>
    <row r="799" spans="1:10">
      <c r="A799" s="71"/>
      <c r="B799" s="72"/>
      <c r="C799" s="71"/>
      <c r="D799" s="71"/>
      <c r="E799" s="71"/>
      <c r="F799" s="71"/>
      <c r="G799" s="71"/>
      <c r="H799" s="71"/>
      <c r="I799" s="71"/>
      <c r="J799" s="71"/>
    </row>
    <row r="800" spans="1:10">
      <c r="A800" s="71"/>
      <c r="B800" s="72"/>
      <c r="C800" s="71"/>
      <c r="D800" s="71"/>
      <c r="E800" s="71"/>
      <c r="F800" s="71"/>
      <c r="G800" s="71"/>
      <c r="H800" s="71"/>
      <c r="I800" s="71"/>
      <c r="J800" s="71"/>
    </row>
    <row r="801" spans="1:10">
      <c r="A801" s="71"/>
      <c r="B801" s="72"/>
      <c r="C801" s="71"/>
      <c r="D801" s="71"/>
      <c r="E801" s="71"/>
      <c r="F801" s="71"/>
      <c r="G801" s="71"/>
      <c r="H801" s="71"/>
      <c r="I801" s="71"/>
      <c r="J801" s="71"/>
    </row>
    <row r="802" spans="1:10">
      <c r="A802" s="71"/>
      <c r="B802" s="72"/>
      <c r="C802" s="71"/>
      <c r="D802" s="71"/>
      <c r="E802" s="71"/>
      <c r="F802" s="71"/>
      <c r="G802" s="71"/>
      <c r="H802" s="71"/>
      <c r="I802" s="71"/>
      <c r="J802" s="71"/>
    </row>
    <row r="803" spans="1:10">
      <c r="A803" s="71"/>
      <c r="B803" s="72"/>
      <c r="C803" s="71"/>
      <c r="D803" s="71"/>
      <c r="E803" s="71"/>
      <c r="F803" s="71"/>
      <c r="G803" s="71"/>
      <c r="H803" s="71"/>
      <c r="I803" s="71"/>
      <c r="J803" s="71"/>
    </row>
    <row r="804" spans="1:10">
      <c r="A804" s="71"/>
      <c r="B804" s="72"/>
      <c r="C804" s="71"/>
      <c r="D804" s="71"/>
      <c r="E804" s="71"/>
      <c r="F804" s="71"/>
      <c r="G804" s="71"/>
      <c r="H804" s="71"/>
      <c r="I804" s="71"/>
      <c r="J804" s="71"/>
    </row>
    <row r="805" spans="1:10">
      <c r="A805" s="71"/>
      <c r="B805" s="72"/>
      <c r="C805" s="71"/>
      <c r="D805" s="71"/>
      <c r="E805" s="71"/>
      <c r="F805" s="71"/>
      <c r="G805" s="71"/>
      <c r="H805" s="71"/>
      <c r="I805" s="71"/>
      <c r="J805" s="71"/>
    </row>
    <row r="806" spans="1:10">
      <c r="A806" s="71"/>
      <c r="B806" s="72"/>
      <c r="C806" s="71"/>
      <c r="D806" s="71"/>
      <c r="E806" s="71"/>
      <c r="F806" s="71"/>
      <c r="G806" s="71"/>
      <c r="H806" s="71"/>
      <c r="I806" s="71"/>
      <c r="J806" s="71"/>
    </row>
    <row r="807" spans="1:10">
      <c r="A807" s="71"/>
      <c r="B807" s="72"/>
      <c r="C807" s="71"/>
      <c r="D807" s="71"/>
      <c r="E807" s="71"/>
      <c r="F807" s="71"/>
      <c r="G807" s="71"/>
      <c r="H807" s="71"/>
      <c r="I807" s="71"/>
      <c r="J807" s="71"/>
    </row>
    <row r="808" spans="1:10">
      <c r="A808" s="71"/>
      <c r="B808" s="72"/>
      <c r="C808" s="71"/>
      <c r="D808" s="71"/>
      <c r="E808" s="71"/>
      <c r="F808" s="71"/>
      <c r="G808" s="71"/>
      <c r="H808" s="71"/>
      <c r="I808" s="71"/>
      <c r="J808" s="71"/>
    </row>
    <row r="809" spans="1:10">
      <c r="A809" s="71"/>
      <c r="B809" s="72"/>
      <c r="C809" s="71"/>
      <c r="D809" s="71"/>
      <c r="E809" s="71"/>
      <c r="F809" s="71"/>
      <c r="G809" s="71"/>
      <c r="H809" s="71"/>
      <c r="I809" s="71"/>
      <c r="J809" s="71"/>
    </row>
    <row r="810" spans="1:10">
      <c r="A810" s="71"/>
      <c r="B810" s="72"/>
      <c r="C810" s="71"/>
      <c r="D810" s="71"/>
      <c r="E810" s="71"/>
      <c r="F810" s="71"/>
      <c r="G810" s="71"/>
      <c r="H810" s="71"/>
      <c r="I810" s="71"/>
      <c r="J810" s="71"/>
    </row>
    <row r="811" spans="1:10">
      <c r="A811" s="71"/>
      <c r="B811" s="72"/>
      <c r="C811" s="71"/>
      <c r="D811" s="71"/>
      <c r="E811" s="71"/>
      <c r="F811" s="71"/>
      <c r="G811" s="71"/>
      <c r="H811" s="71"/>
      <c r="I811" s="71"/>
      <c r="J811" s="71"/>
    </row>
    <row r="812" spans="1:10">
      <c r="A812" s="71"/>
      <c r="B812" s="72"/>
      <c r="C812" s="71"/>
      <c r="D812" s="71"/>
      <c r="E812" s="71"/>
      <c r="F812" s="71"/>
      <c r="G812" s="71"/>
      <c r="H812" s="71"/>
      <c r="I812" s="71"/>
      <c r="J812" s="71"/>
    </row>
    <row r="813" spans="1:10">
      <c r="A813" s="71"/>
      <c r="B813" s="72"/>
      <c r="C813" s="71"/>
      <c r="D813" s="71"/>
      <c r="E813" s="71"/>
      <c r="F813" s="71"/>
      <c r="G813" s="71"/>
      <c r="H813" s="71"/>
      <c r="I813" s="71"/>
      <c r="J813" s="71"/>
    </row>
    <row r="814" spans="1:10">
      <c r="A814" s="71"/>
      <c r="B814" s="72"/>
      <c r="C814" s="71"/>
      <c r="D814" s="71"/>
      <c r="E814" s="71"/>
      <c r="F814" s="71"/>
      <c r="G814" s="71"/>
      <c r="H814" s="71"/>
      <c r="I814" s="71"/>
      <c r="J814" s="71"/>
    </row>
    <row r="815" spans="1:10">
      <c r="A815" s="71"/>
      <c r="B815" s="72"/>
      <c r="C815" s="71"/>
      <c r="D815" s="71"/>
      <c r="E815" s="71"/>
      <c r="F815" s="71"/>
      <c r="G815" s="71"/>
      <c r="H815" s="71"/>
      <c r="I815" s="71"/>
      <c r="J815" s="71"/>
    </row>
    <row r="816" spans="1:10">
      <c r="A816" s="71"/>
      <c r="B816" s="72"/>
      <c r="C816" s="71"/>
      <c r="D816" s="71"/>
      <c r="E816" s="71"/>
      <c r="F816" s="71"/>
      <c r="G816" s="71"/>
      <c r="H816" s="71"/>
      <c r="I816" s="71"/>
      <c r="J816" s="71"/>
    </row>
    <row r="817" spans="1:10">
      <c r="A817" s="71"/>
      <c r="B817" s="72"/>
      <c r="C817" s="71"/>
      <c r="D817" s="71"/>
      <c r="E817" s="71"/>
      <c r="F817" s="71"/>
      <c r="G817" s="71"/>
      <c r="H817" s="71"/>
      <c r="I817" s="71"/>
      <c r="J817" s="71"/>
    </row>
    <row r="818" spans="1:10">
      <c r="A818" s="71"/>
      <c r="B818" s="72"/>
      <c r="C818" s="71"/>
      <c r="D818" s="71"/>
      <c r="E818" s="71"/>
      <c r="F818" s="71"/>
      <c r="G818" s="71"/>
      <c r="H818" s="71"/>
      <c r="I818" s="71"/>
      <c r="J818" s="71"/>
    </row>
    <row r="819" spans="1:10">
      <c r="A819" s="71"/>
      <c r="B819" s="72"/>
      <c r="C819" s="71"/>
      <c r="D819" s="71"/>
      <c r="E819" s="71"/>
      <c r="F819" s="71"/>
      <c r="G819" s="71"/>
      <c r="H819" s="71"/>
      <c r="I819" s="71"/>
      <c r="J819" s="71"/>
    </row>
    <row r="820" spans="1:10">
      <c r="A820" s="71"/>
      <c r="B820" s="72"/>
      <c r="C820" s="71"/>
      <c r="D820" s="71"/>
      <c r="E820" s="71"/>
      <c r="F820" s="71"/>
      <c r="G820" s="71"/>
      <c r="H820" s="71"/>
      <c r="I820" s="71"/>
      <c r="J820" s="71"/>
    </row>
    <row r="821" spans="1:10">
      <c r="A821" s="71"/>
      <c r="B821" s="72"/>
      <c r="C821" s="71"/>
      <c r="D821" s="71"/>
      <c r="E821" s="71"/>
      <c r="F821" s="71"/>
      <c r="G821" s="71"/>
      <c r="H821" s="71"/>
      <c r="I821" s="71"/>
      <c r="J821" s="71"/>
    </row>
    <row r="822" spans="1:10">
      <c r="A822" s="71"/>
      <c r="B822" s="72"/>
      <c r="C822" s="71"/>
      <c r="D822" s="71"/>
      <c r="E822" s="71"/>
      <c r="F822" s="71"/>
      <c r="G822" s="71"/>
      <c r="H822" s="71"/>
      <c r="I822" s="71"/>
      <c r="J822" s="71"/>
    </row>
    <row r="823" spans="1:10">
      <c r="A823" s="71"/>
      <c r="B823" s="72"/>
      <c r="C823" s="71"/>
      <c r="D823" s="71"/>
      <c r="E823" s="71"/>
      <c r="F823" s="71"/>
      <c r="G823" s="71"/>
      <c r="H823" s="71"/>
      <c r="I823" s="71"/>
      <c r="J823" s="71"/>
    </row>
    <row r="824" spans="1:10">
      <c r="A824" s="71"/>
      <c r="B824" s="72"/>
      <c r="C824" s="71"/>
      <c r="D824" s="71"/>
      <c r="E824" s="71"/>
      <c r="F824" s="71"/>
      <c r="G824" s="71"/>
      <c r="H824" s="71"/>
      <c r="I824" s="71"/>
      <c r="J824" s="71"/>
    </row>
    <row r="825" spans="1:10">
      <c r="A825" s="71"/>
      <c r="B825" s="72"/>
      <c r="C825" s="71"/>
      <c r="D825" s="71"/>
      <c r="E825" s="71"/>
      <c r="F825" s="71"/>
      <c r="G825" s="71"/>
      <c r="H825" s="71"/>
      <c r="I825" s="71"/>
      <c r="J825" s="71"/>
    </row>
    <row r="826" spans="1:10">
      <c r="A826" s="71"/>
      <c r="B826" s="72"/>
      <c r="C826" s="71"/>
      <c r="D826" s="71"/>
      <c r="E826" s="71"/>
      <c r="F826" s="71"/>
      <c r="G826" s="71"/>
      <c r="H826" s="71"/>
      <c r="I826" s="71"/>
      <c r="J826" s="71"/>
    </row>
    <row r="827" spans="1:10">
      <c r="A827" s="71"/>
      <c r="B827" s="72"/>
      <c r="C827" s="71"/>
      <c r="D827" s="71"/>
      <c r="E827" s="71"/>
      <c r="F827" s="71"/>
      <c r="G827" s="71"/>
      <c r="H827" s="71"/>
      <c r="I827" s="71"/>
      <c r="J827" s="71"/>
    </row>
    <row r="828" spans="1:10">
      <c r="A828" s="71"/>
      <c r="B828" s="72"/>
      <c r="C828" s="71"/>
      <c r="D828" s="71"/>
      <c r="E828" s="71"/>
      <c r="F828" s="71"/>
      <c r="G828" s="71"/>
      <c r="H828" s="71"/>
      <c r="I828" s="71"/>
      <c r="J828" s="71"/>
    </row>
    <row r="829" spans="1:10">
      <c r="A829" s="71"/>
      <c r="B829" s="72"/>
      <c r="C829" s="71"/>
      <c r="D829" s="71"/>
      <c r="E829" s="71"/>
      <c r="F829" s="71"/>
      <c r="G829" s="71"/>
      <c r="H829" s="71"/>
      <c r="I829" s="71"/>
      <c r="J829" s="71"/>
    </row>
    <row r="830" spans="1:10">
      <c r="A830" s="71"/>
      <c r="B830" s="72"/>
      <c r="C830" s="71"/>
      <c r="D830" s="71"/>
      <c r="E830" s="71"/>
      <c r="F830" s="71"/>
      <c r="G830" s="71"/>
      <c r="H830" s="71"/>
      <c r="I830" s="71"/>
      <c r="J830" s="71"/>
    </row>
    <row r="831" spans="1:10">
      <c r="A831" s="71"/>
      <c r="B831" s="72"/>
      <c r="C831" s="71"/>
      <c r="D831" s="71"/>
      <c r="E831" s="71"/>
      <c r="F831" s="71"/>
      <c r="G831" s="71"/>
      <c r="H831" s="71"/>
      <c r="I831" s="71"/>
      <c r="J831" s="71"/>
    </row>
    <row r="832" spans="1:10">
      <c r="A832" s="71"/>
      <c r="B832" s="72"/>
      <c r="C832" s="71"/>
      <c r="D832" s="71"/>
      <c r="E832" s="71"/>
      <c r="F832" s="71"/>
      <c r="G832" s="71"/>
      <c r="H832" s="71"/>
      <c r="I832" s="71"/>
      <c r="J832" s="71"/>
    </row>
    <row r="833" spans="1:10">
      <c r="A833" s="71"/>
      <c r="B833" s="72"/>
      <c r="C833" s="71"/>
      <c r="D833" s="71"/>
      <c r="E833" s="71"/>
      <c r="F833" s="71"/>
      <c r="G833" s="71"/>
      <c r="H833" s="71"/>
      <c r="I833" s="71"/>
      <c r="J833" s="71"/>
    </row>
    <row r="834" spans="1:10">
      <c r="A834" s="71"/>
      <c r="B834" s="72"/>
      <c r="C834" s="71"/>
      <c r="D834" s="71"/>
      <c r="E834" s="71"/>
      <c r="F834" s="71"/>
      <c r="G834" s="71"/>
      <c r="H834" s="71"/>
      <c r="I834" s="71"/>
      <c r="J834" s="71"/>
    </row>
    <row r="835" spans="1:10">
      <c r="A835" s="71"/>
      <c r="B835" s="72"/>
      <c r="C835" s="71"/>
      <c r="D835" s="71"/>
      <c r="E835" s="71"/>
      <c r="F835" s="71"/>
      <c r="G835" s="71"/>
      <c r="H835" s="71"/>
      <c r="I835" s="71"/>
      <c r="J835" s="71"/>
    </row>
    <row r="836" spans="1:10">
      <c r="A836" s="71"/>
      <c r="B836" s="72"/>
      <c r="C836" s="71"/>
      <c r="D836" s="71"/>
      <c r="E836" s="71"/>
      <c r="F836" s="71"/>
      <c r="G836" s="71"/>
      <c r="H836" s="71"/>
      <c r="I836" s="71"/>
      <c r="J836" s="71"/>
    </row>
    <row r="837" spans="1:10">
      <c r="A837" s="71"/>
      <c r="B837" s="72"/>
      <c r="C837" s="71"/>
      <c r="D837" s="71"/>
      <c r="E837" s="71"/>
      <c r="F837" s="71"/>
      <c r="G837" s="71"/>
      <c r="H837" s="71"/>
      <c r="I837" s="71"/>
      <c r="J837" s="71"/>
    </row>
    <row r="838" spans="1:10">
      <c r="A838" s="71"/>
      <c r="B838" s="72"/>
      <c r="C838" s="71"/>
      <c r="D838" s="71"/>
      <c r="E838" s="71"/>
      <c r="F838" s="71"/>
      <c r="G838" s="71"/>
      <c r="H838" s="71"/>
      <c r="I838" s="71"/>
      <c r="J838" s="71"/>
    </row>
    <row r="839" spans="1:10">
      <c r="A839" s="71"/>
      <c r="B839" s="72"/>
      <c r="C839" s="71"/>
      <c r="D839" s="71"/>
      <c r="E839" s="71"/>
      <c r="F839" s="71"/>
      <c r="G839" s="71"/>
      <c r="H839" s="71"/>
      <c r="I839" s="71"/>
      <c r="J839" s="71"/>
    </row>
    <row r="840" spans="1:10">
      <c r="A840" s="71"/>
      <c r="B840" s="72"/>
      <c r="C840" s="71"/>
      <c r="D840" s="71"/>
      <c r="E840" s="71"/>
      <c r="F840" s="71"/>
      <c r="G840" s="71"/>
      <c r="H840" s="71"/>
      <c r="I840" s="71"/>
      <c r="J840" s="71"/>
    </row>
    <row r="841" spans="1:10">
      <c r="A841" s="71"/>
      <c r="B841" s="72"/>
      <c r="C841" s="71"/>
      <c r="D841" s="71"/>
      <c r="E841" s="71"/>
      <c r="F841" s="71"/>
      <c r="G841" s="71"/>
      <c r="H841" s="71"/>
      <c r="I841" s="71"/>
      <c r="J841" s="71"/>
    </row>
    <row r="842" spans="1:10">
      <c r="A842" s="71"/>
      <c r="B842" s="72"/>
      <c r="C842" s="71"/>
      <c r="D842" s="71"/>
      <c r="E842" s="71"/>
      <c r="F842" s="71"/>
      <c r="G842" s="71"/>
      <c r="H842" s="71"/>
      <c r="I842" s="71"/>
      <c r="J842" s="71"/>
    </row>
    <row r="843" spans="1:10">
      <c r="A843" s="71"/>
      <c r="B843" s="72"/>
      <c r="C843" s="71"/>
      <c r="D843" s="71"/>
      <c r="E843" s="71"/>
      <c r="F843" s="71"/>
      <c r="G843" s="71"/>
      <c r="H843" s="71"/>
      <c r="I843" s="71"/>
      <c r="J843" s="71"/>
    </row>
    <row r="844" spans="1:10">
      <c r="A844" s="71"/>
      <c r="B844" s="72"/>
      <c r="C844" s="71"/>
      <c r="D844" s="71"/>
      <c r="E844" s="71"/>
      <c r="F844" s="71"/>
      <c r="G844" s="71"/>
      <c r="H844" s="71"/>
      <c r="I844" s="71"/>
      <c r="J844" s="71"/>
    </row>
    <row r="845" spans="1:10">
      <c r="A845" s="71"/>
      <c r="B845" s="72"/>
      <c r="C845" s="71"/>
      <c r="D845" s="71"/>
      <c r="E845" s="71"/>
      <c r="F845" s="71"/>
      <c r="G845" s="71"/>
      <c r="H845" s="71"/>
      <c r="I845" s="71"/>
      <c r="J845" s="71"/>
    </row>
    <row r="846" spans="1:10">
      <c r="A846" s="71"/>
      <c r="B846" s="72"/>
      <c r="C846" s="71"/>
      <c r="D846" s="71"/>
      <c r="E846" s="71"/>
      <c r="F846" s="71"/>
      <c r="G846" s="71"/>
      <c r="H846" s="71"/>
      <c r="I846" s="71"/>
      <c r="J846" s="71"/>
    </row>
    <row r="847" spans="1:10">
      <c r="A847" s="71"/>
      <c r="B847" s="72"/>
      <c r="C847" s="71"/>
      <c r="D847" s="71"/>
      <c r="E847" s="71"/>
      <c r="F847" s="71"/>
      <c r="G847" s="71"/>
      <c r="H847" s="71"/>
      <c r="I847" s="71"/>
      <c r="J847" s="71"/>
    </row>
    <row r="848" spans="1:10">
      <c r="A848" s="71"/>
      <c r="B848" s="72"/>
      <c r="C848" s="71"/>
      <c r="D848" s="71"/>
      <c r="E848" s="71"/>
      <c r="F848" s="71"/>
      <c r="G848" s="71"/>
      <c r="H848" s="71"/>
      <c r="I848" s="71"/>
      <c r="J848" s="71"/>
    </row>
    <row r="849" spans="1:10">
      <c r="A849" s="71"/>
      <c r="B849" s="72"/>
      <c r="C849" s="71"/>
      <c r="D849" s="71"/>
      <c r="E849" s="71"/>
      <c r="F849" s="71"/>
      <c r="G849" s="71"/>
      <c r="H849" s="71"/>
      <c r="I849" s="71"/>
      <c r="J849" s="71"/>
    </row>
    <row r="850" spans="1:10">
      <c r="A850" s="71"/>
      <c r="B850" s="72"/>
      <c r="C850" s="71"/>
      <c r="D850" s="71"/>
      <c r="E850" s="71"/>
      <c r="F850" s="71"/>
      <c r="G850" s="71"/>
      <c r="H850" s="71"/>
      <c r="I850" s="71"/>
      <c r="J850" s="71"/>
    </row>
    <row r="851" spans="1:10">
      <c r="A851" s="71"/>
      <c r="B851" s="72"/>
      <c r="C851" s="71"/>
      <c r="D851" s="71"/>
      <c r="E851" s="71"/>
      <c r="F851" s="71"/>
      <c r="G851" s="71"/>
      <c r="H851" s="71"/>
      <c r="I851" s="71"/>
      <c r="J851" s="71"/>
    </row>
    <row r="852" spans="1:10">
      <c r="A852" s="71"/>
      <c r="B852" s="72"/>
      <c r="C852" s="71"/>
      <c r="D852" s="71"/>
      <c r="E852" s="71"/>
      <c r="F852" s="71"/>
      <c r="G852" s="71"/>
      <c r="H852" s="71"/>
      <c r="I852" s="71"/>
      <c r="J852" s="71"/>
    </row>
    <row r="853" spans="1:10">
      <c r="A853" s="71"/>
      <c r="B853" s="72"/>
      <c r="C853" s="71"/>
      <c r="D853" s="71"/>
      <c r="E853" s="71"/>
      <c r="F853" s="71"/>
      <c r="G853" s="71"/>
      <c r="H853" s="71"/>
      <c r="I853" s="71"/>
      <c r="J853" s="71"/>
    </row>
    <row r="854" spans="1:10">
      <c r="A854" s="71"/>
      <c r="B854" s="72"/>
      <c r="C854" s="71"/>
      <c r="D854" s="71"/>
      <c r="E854" s="71"/>
      <c r="F854" s="71"/>
      <c r="G854" s="71"/>
      <c r="H854" s="71"/>
      <c r="I854" s="71"/>
      <c r="J854" s="71"/>
    </row>
    <row r="855" spans="1:10">
      <c r="A855" s="71"/>
      <c r="B855" s="72"/>
      <c r="C855" s="71"/>
      <c r="D855" s="71"/>
      <c r="E855" s="71"/>
      <c r="F855" s="71"/>
      <c r="G855" s="71"/>
      <c r="H855" s="71"/>
      <c r="I855" s="71"/>
      <c r="J855" s="71"/>
    </row>
    <row r="856" spans="1:10">
      <c r="A856" s="71"/>
      <c r="B856" s="72"/>
      <c r="C856" s="71"/>
      <c r="D856" s="71"/>
      <c r="E856" s="71"/>
      <c r="F856" s="71"/>
      <c r="G856" s="71"/>
      <c r="H856" s="71"/>
      <c r="I856" s="71"/>
      <c r="J856" s="71"/>
    </row>
    <row r="857" spans="1:10">
      <c r="A857" s="71"/>
      <c r="B857" s="72"/>
      <c r="C857" s="71"/>
      <c r="D857" s="71"/>
      <c r="E857" s="71"/>
      <c r="F857" s="71"/>
      <c r="G857" s="71"/>
      <c r="H857" s="71"/>
      <c r="I857" s="71"/>
      <c r="J857" s="71"/>
    </row>
    <row r="858" spans="1:10">
      <c r="A858" s="71"/>
      <c r="B858" s="72"/>
      <c r="C858" s="71"/>
      <c r="D858" s="71"/>
      <c r="E858" s="71"/>
      <c r="F858" s="71"/>
      <c r="G858" s="71"/>
      <c r="H858" s="71"/>
      <c r="I858" s="71"/>
      <c r="J858" s="71"/>
    </row>
    <row r="859" spans="1:10">
      <c r="A859" s="71"/>
      <c r="B859" s="72"/>
      <c r="C859" s="71"/>
      <c r="D859" s="71"/>
      <c r="E859" s="71"/>
      <c r="F859" s="71"/>
      <c r="G859" s="71"/>
      <c r="H859" s="71"/>
      <c r="I859" s="71"/>
      <c r="J859" s="71"/>
    </row>
    <row r="860" spans="1:10">
      <c r="A860" s="71"/>
      <c r="B860" s="72"/>
      <c r="C860" s="71"/>
      <c r="D860" s="71"/>
      <c r="E860" s="71"/>
      <c r="F860" s="71"/>
      <c r="G860" s="71"/>
      <c r="H860" s="71"/>
      <c r="I860" s="71"/>
      <c r="J860" s="71"/>
    </row>
    <row r="861" spans="1:10">
      <c r="A861" s="71"/>
      <c r="B861" s="72"/>
      <c r="C861" s="71"/>
      <c r="D861" s="71"/>
      <c r="E861" s="71"/>
      <c r="F861" s="71"/>
      <c r="G861" s="71"/>
      <c r="H861" s="71"/>
      <c r="I861" s="71"/>
      <c r="J861" s="71"/>
    </row>
    <row r="862" spans="1:10">
      <c r="A862" s="71"/>
      <c r="B862" s="72"/>
      <c r="C862" s="71"/>
      <c r="D862" s="71"/>
      <c r="E862" s="71"/>
      <c r="F862" s="71"/>
      <c r="G862" s="71"/>
      <c r="H862" s="71"/>
      <c r="I862" s="71"/>
      <c r="J862" s="71"/>
    </row>
    <row r="863" spans="1:10">
      <c r="A863" s="71"/>
      <c r="B863" s="72"/>
      <c r="C863" s="71"/>
      <c r="D863" s="71"/>
      <c r="E863" s="71"/>
      <c r="F863" s="71"/>
      <c r="G863" s="71"/>
      <c r="H863" s="71"/>
      <c r="I863" s="71"/>
      <c r="J863" s="71"/>
    </row>
    <row r="864" spans="1:10">
      <c r="A864" s="71"/>
      <c r="B864" s="72"/>
      <c r="C864" s="71"/>
      <c r="D864" s="71"/>
      <c r="E864" s="71"/>
      <c r="F864" s="71"/>
      <c r="G864" s="71"/>
      <c r="H864" s="71"/>
      <c r="I864" s="71"/>
      <c r="J864" s="71"/>
    </row>
    <row r="865" spans="1:10">
      <c r="A865" s="71"/>
      <c r="B865" s="72"/>
      <c r="C865" s="71"/>
      <c r="D865" s="71"/>
      <c r="E865" s="71"/>
      <c r="F865" s="71"/>
      <c r="G865" s="71"/>
      <c r="H865" s="71"/>
      <c r="I865" s="71"/>
      <c r="J865" s="71"/>
    </row>
    <row r="866" spans="1:10">
      <c r="A866" s="71"/>
      <c r="B866" s="72"/>
      <c r="C866" s="71"/>
      <c r="D866" s="71"/>
      <c r="E866" s="71"/>
      <c r="F866" s="71"/>
      <c r="G866" s="71"/>
      <c r="H866" s="71"/>
      <c r="I866" s="71"/>
      <c r="J866" s="71"/>
    </row>
    <row r="867" spans="1:10">
      <c r="A867" s="71"/>
      <c r="B867" s="72"/>
      <c r="C867" s="71"/>
      <c r="D867" s="71"/>
      <c r="E867" s="71"/>
      <c r="F867" s="71"/>
      <c r="G867" s="71"/>
      <c r="H867" s="71"/>
      <c r="I867" s="71"/>
      <c r="J867" s="71"/>
    </row>
    <row r="868" spans="1:10">
      <c r="A868" s="71"/>
      <c r="B868" s="72"/>
      <c r="C868" s="71"/>
      <c r="D868" s="71"/>
      <c r="E868" s="71"/>
      <c r="F868" s="71"/>
      <c r="G868" s="71"/>
      <c r="H868" s="71"/>
      <c r="I868" s="71"/>
      <c r="J868" s="71"/>
    </row>
    <row r="869" spans="1:10">
      <c r="A869" s="71"/>
      <c r="B869" s="72"/>
      <c r="C869" s="71"/>
      <c r="D869" s="71"/>
      <c r="E869" s="71"/>
      <c r="F869" s="71"/>
      <c r="G869" s="71"/>
      <c r="H869" s="71"/>
      <c r="I869" s="71"/>
      <c r="J869" s="71"/>
    </row>
    <row r="870" spans="1:10">
      <c r="A870" s="71"/>
      <c r="B870" s="72"/>
      <c r="C870" s="71"/>
      <c r="D870" s="71"/>
      <c r="E870" s="71"/>
      <c r="F870" s="71"/>
      <c r="G870" s="71"/>
      <c r="H870" s="71"/>
      <c r="I870" s="71"/>
      <c r="J870" s="71"/>
    </row>
    <row r="871" spans="1:10">
      <c r="A871" s="71"/>
      <c r="B871" s="72"/>
      <c r="C871" s="71"/>
      <c r="D871" s="71"/>
      <c r="E871" s="71"/>
      <c r="F871" s="71"/>
      <c r="G871" s="71"/>
      <c r="H871" s="71"/>
      <c r="I871" s="71"/>
      <c r="J871" s="71"/>
    </row>
    <row r="872" spans="1:10">
      <c r="A872" s="71"/>
      <c r="B872" s="72"/>
      <c r="C872" s="71"/>
      <c r="D872" s="71"/>
      <c r="E872" s="71"/>
      <c r="F872" s="71"/>
      <c r="G872" s="71"/>
      <c r="H872" s="71"/>
      <c r="I872" s="71"/>
      <c r="J872" s="71"/>
    </row>
    <row r="873" spans="1:10">
      <c r="A873" s="71"/>
      <c r="B873" s="72"/>
      <c r="C873" s="71"/>
      <c r="D873" s="71"/>
      <c r="E873" s="71"/>
      <c r="F873" s="71"/>
      <c r="G873" s="71"/>
      <c r="H873" s="71"/>
      <c r="I873" s="71"/>
      <c r="J873" s="71"/>
    </row>
    <row r="874" spans="1:10">
      <c r="A874" s="71"/>
      <c r="B874" s="72"/>
      <c r="C874" s="71"/>
      <c r="D874" s="71"/>
      <c r="E874" s="71"/>
      <c r="F874" s="71"/>
      <c r="G874" s="71"/>
      <c r="H874" s="71"/>
      <c r="I874" s="71"/>
      <c r="J874" s="71"/>
    </row>
    <row r="875" spans="1:10">
      <c r="A875" s="71"/>
      <c r="B875" s="72"/>
      <c r="C875" s="71"/>
      <c r="D875" s="71"/>
      <c r="E875" s="71"/>
      <c r="F875" s="71"/>
      <c r="G875" s="71"/>
      <c r="H875" s="71"/>
      <c r="I875" s="71"/>
      <c r="J875" s="71"/>
    </row>
    <row r="876" spans="1:10">
      <c r="A876" s="71"/>
      <c r="B876" s="72"/>
      <c r="C876" s="71"/>
      <c r="D876" s="71"/>
      <c r="E876" s="71"/>
      <c r="F876" s="71"/>
      <c r="G876" s="71"/>
      <c r="H876" s="71"/>
      <c r="I876" s="71"/>
      <c r="J876" s="71"/>
    </row>
    <row r="877" spans="1:10">
      <c r="A877" s="71"/>
      <c r="B877" s="72"/>
      <c r="C877" s="71"/>
      <c r="D877" s="71"/>
      <c r="E877" s="71"/>
      <c r="F877" s="71"/>
      <c r="G877" s="71"/>
      <c r="H877" s="71"/>
      <c r="I877" s="71"/>
      <c r="J877" s="71"/>
    </row>
    <row r="878" spans="1:10">
      <c r="A878" s="71"/>
      <c r="B878" s="72"/>
      <c r="C878" s="71"/>
      <c r="D878" s="71"/>
      <c r="E878" s="71"/>
      <c r="F878" s="71"/>
      <c r="G878" s="71"/>
      <c r="H878" s="71"/>
      <c r="I878" s="71"/>
      <c r="J878" s="71"/>
    </row>
    <row r="879" spans="1:10">
      <c r="A879" s="71"/>
      <c r="B879" s="72"/>
      <c r="C879" s="71"/>
      <c r="D879" s="71"/>
      <c r="E879" s="71"/>
      <c r="F879" s="71"/>
      <c r="G879" s="71"/>
      <c r="H879" s="71"/>
      <c r="I879" s="71"/>
      <c r="J879" s="71"/>
    </row>
    <row r="880" spans="1:10">
      <c r="A880" s="71"/>
      <c r="B880" s="72"/>
      <c r="C880" s="71"/>
      <c r="D880" s="71"/>
      <c r="E880" s="71"/>
      <c r="F880" s="71"/>
      <c r="G880" s="71"/>
      <c r="H880" s="71"/>
      <c r="I880" s="71"/>
      <c r="J880" s="71"/>
    </row>
    <row r="881" spans="1:10">
      <c r="A881" s="71"/>
      <c r="B881" s="72"/>
      <c r="C881" s="71"/>
      <c r="D881" s="71"/>
      <c r="E881" s="71"/>
      <c r="F881" s="71"/>
      <c r="G881" s="71"/>
      <c r="H881" s="71"/>
      <c r="I881" s="71"/>
      <c r="J881" s="71"/>
    </row>
    <row r="882" spans="1:10">
      <c r="A882" s="71"/>
      <c r="B882" s="72"/>
      <c r="C882" s="71"/>
      <c r="D882" s="71"/>
      <c r="E882" s="71"/>
      <c r="F882" s="71"/>
      <c r="G882" s="71"/>
      <c r="H882" s="71"/>
      <c r="I882" s="71"/>
      <c r="J882" s="71"/>
    </row>
    <row r="883" spans="1:10">
      <c r="A883" s="71"/>
      <c r="B883" s="72"/>
      <c r="C883" s="71"/>
      <c r="D883" s="71"/>
      <c r="E883" s="71"/>
      <c r="F883" s="71"/>
      <c r="G883" s="71"/>
      <c r="H883" s="71"/>
      <c r="I883" s="71"/>
      <c r="J883" s="71"/>
    </row>
    <row r="884" spans="1:10">
      <c r="A884" s="71"/>
      <c r="B884" s="72"/>
      <c r="C884" s="71"/>
      <c r="D884" s="71"/>
      <c r="E884" s="71"/>
      <c r="F884" s="71"/>
      <c r="G884" s="71"/>
      <c r="H884" s="71"/>
      <c r="I884" s="71"/>
      <c r="J884" s="71"/>
    </row>
    <row r="885" spans="1:10">
      <c r="A885" s="71"/>
      <c r="B885" s="72"/>
      <c r="C885" s="71"/>
      <c r="D885" s="71"/>
      <c r="E885" s="71"/>
      <c r="F885" s="71"/>
      <c r="G885" s="71"/>
      <c r="H885" s="71"/>
      <c r="I885" s="71"/>
      <c r="J885" s="71"/>
    </row>
    <row r="886" spans="1:10">
      <c r="A886" s="71"/>
      <c r="B886" s="72"/>
      <c r="C886" s="71"/>
      <c r="D886" s="71"/>
      <c r="E886" s="71"/>
      <c r="F886" s="71"/>
      <c r="G886" s="71"/>
      <c r="H886" s="71"/>
      <c r="I886" s="71"/>
      <c r="J886" s="71"/>
    </row>
    <row r="887" spans="1:10">
      <c r="A887" s="71"/>
      <c r="B887" s="72"/>
      <c r="C887" s="71"/>
      <c r="D887" s="71"/>
      <c r="E887" s="71"/>
      <c r="F887" s="71"/>
      <c r="G887" s="71"/>
      <c r="H887" s="71"/>
      <c r="I887" s="71"/>
      <c r="J887" s="71"/>
    </row>
    <row r="888" spans="1:10">
      <c r="A888" s="71"/>
      <c r="B888" s="72"/>
      <c r="C888" s="71"/>
      <c r="D888" s="71"/>
      <c r="E888" s="71"/>
      <c r="F888" s="71"/>
      <c r="G888" s="71"/>
      <c r="H888" s="71"/>
      <c r="I888" s="71"/>
      <c r="J888" s="71"/>
    </row>
    <row r="889" spans="1:10">
      <c r="A889" s="71"/>
      <c r="B889" s="72"/>
      <c r="C889" s="71"/>
      <c r="D889" s="71"/>
      <c r="E889" s="71"/>
      <c r="F889" s="71"/>
      <c r="G889" s="71"/>
      <c r="H889" s="71"/>
      <c r="I889" s="71"/>
      <c r="J889" s="71"/>
    </row>
    <row r="890" spans="1:10">
      <c r="A890" s="71"/>
      <c r="B890" s="72"/>
      <c r="C890" s="71"/>
      <c r="D890" s="71"/>
      <c r="E890" s="71"/>
      <c r="F890" s="71"/>
      <c r="G890" s="71"/>
      <c r="H890" s="71"/>
      <c r="I890" s="71"/>
      <c r="J890" s="71"/>
    </row>
    <row r="891" spans="1:10">
      <c r="A891" s="71"/>
      <c r="B891" s="72"/>
      <c r="C891" s="71"/>
      <c r="D891" s="71"/>
      <c r="E891" s="71"/>
      <c r="F891" s="71"/>
      <c r="G891" s="71"/>
      <c r="H891" s="71"/>
      <c r="I891" s="71"/>
      <c r="J891" s="71"/>
    </row>
    <row r="892" spans="1:10">
      <c r="A892" s="71"/>
      <c r="B892" s="72"/>
      <c r="C892" s="71"/>
      <c r="D892" s="71"/>
      <c r="E892" s="71"/>
      <c r="F892" s="71"/>
      <c r="G892" s="71"/>
      <c r="H892" s="71"/>
      <c r="I892" s="71"/>
      <c r="J892" s="71"/>
    </row>
    <row r="893" spans="1:10">
      <c r="A893" s="71"/>
      <c r="B893" s="72"/>
      <c r="C893" s="71"/>
      <c r="D893" s="71"/>
      <c r="E893" s="71"/>
      <c r="F893" s="71"/>
      <c r="G893" s="71"/>
      <c r="H893" s="71"/>
      <c r="I893" s="71"/>
      <c r="J893" s="71"/>
    </row>
    <row r="894" spans="1:10">
      <c r="A894" s="71"/>
      <c r="B894" s="72"/>
      <c r="C894" s="71"/>
      <c r="D894" s="71"/>
      <c r="E894" s="71"/>
      <c r="F894" s="71"/>
      <c r="G894" s="71"/>
      <c r="H894" s="71"/>
      <c r="I894" s="71"/>
      <c r="J894" s="71"/>
    </row>
    <row r="895" spans="1:10">
      <c r="A895" s="71"/>
      <c r="B895" s="72"/>
      <c r="C895" s="71"/>
      <c r="D895" s="71"/>
      <c r="E895" s="71"/>
      <c r="F895" s="71"/>
      <c r="G895" s="71"/>
      <c r="H895" s="71"/>
      <c r="I895" s="71"/>
      <c r="J895" s="71"/>
    </row>
    <row r="896" spans="1:10">
      <c r="A896" s="71"/>
      <c r="B896" s="72"/>
      <c r="C896" s="71"/>
      <c r="D896" s="71"/>
      <c r="E896" s="71"/>
      <c r="F896" s="71"/>
      <c r="G896" s="71"/>
      <c r="H896" s="71"/>
      <c r="I896" s="71"/>
      <c r="J896" s="71"/>
    </row>
    <row r="897" spans="1:10">
      <c r="A897" s="71"/>
      <c r="B897" s="72"/>
      <c r="C897" s="71"/>
      <c r="D897" s="71"/>
      <c r="E897" s="71"/>
      <c r="F897" s="71"/>
      <c r="G897" s="71"/>
      <c r="H897" s="71"/>
      <c r="I897" s="71"/>
      <c r="J897" s="71"/>
    </row>
    <row r="898" spans="1:10">
      <c r="A898" s="71"/>
      <c r="B898" s="72"/>
      <c r="C898" s="71"/>
      <c r="D898" s="71"/>
      <c r="E898" s="71"/>
      <c r="F898" s="71"/>
      <c r="G898" s="71"/>
      <c r="H898" s="71"/>
      <c r="I898" s="71"/>
      <c r="J898" s="71"/>
    </row>
    <row r="899" spans="1:10">
      <c r="A899" s="71"/>
      <c r="B899" s="72"/>
      <c r="C899" s="71"/>
      <c r="D899" s="71"/>
      <c r="E899" s="71"/>
      <c r="F899" s="71"/>
      <c r="G899" s="71"/>
      <c r="H899" s="71"/>
      <c r="I899" s="71"/>
      <c r="J899" s="71"/>
    </row>
    <row r="900" spans="1:10">
      <c r="A900" s="71"/>
      <c r="B900" s="72"/>
      <c r="C900" s="71"/>
      <c r="D900" s="71"/>
      <c r="E900" s="71"/>
      <c r="F900" s="71"/>
      <c r="G900" s="71"/>
      <c r="H900" s="71"/>
      <c r="I900" s="71"/>
      <c r="J900" s="71"/>
    </row>
    <row r="901" spans="1:10">
      <c r="A901" s="71"/>
      <c r="B901" s="72"/>
      <c r="C901" s="71"/>
      <c r="D901" s="71"/>
      <c r="E901" s="71"/>
      <c r="F901" s="71"/>
      <c r="G901" s="71"/>
      <c r="H901" s="71"/>
      <c r="I901" s="71"/>
      <c r="J901" s="71"/>
    </row>
    <row r="902" spans="1:10">
      <c r="A902" s="71"/>
      <c r="B902" s="72"/>
      <c r="C902" s="71"/>
      <c r="D902" s="71"/>
      <c r="E902" s="71"/>
      <c r="F902" s="71"/>
      <c r="G902" s="71"/>
      <c r="H902" s="71"/>
      <c r="I902" s="71"/>
      <c r="J902" s="71"/>
    </row>
    <row r="903" spans="1:10">
      <c r="A903" s="71"/>
      <c r="B903" s="72"/>
      <c r="C903" s="71"/>
      <c r="D903" s="71"/>
      <c r="E903" s="71"/>
      <c r="F903" s="71"/>
      <c r="G903" s="71"/>
      <c r="H903" s="71"/>
      <c r="I903" s="71"/>
      <c r="J903" s="71"/>
    </row>
    <row r="904" spans="1:10">
      <c r="A904" s="71"/>
      <c r="B904" s="72"/>
      <c r="C904" s="71"/>
      <c r="D904" s="71"/>
      <c r="E904" s="71"/>
      <c r="F904" s="71"/>
      <c r="G904" s="71"/>
      <c r="H904" s="71"/>
      <c r="I904" s="71"/>
      <c r="J904" s="71"/>
    </row>
    <row r="905" spans="1:10">
      <c r="A905" s="71"/>
      <c r="B905" s="72"/>
      <c r="C905" s="71"/>
      <c r="D905" s="71"/>
      <c r="E905" s="71"/>
      <c r="F905" s="71"/>
      <c r="G905" s="71"/>
      <c r="H905" s="71"/>
      <c r="I905" s="71"/>
      <c r="J905" s="71"/>
    </row>
    <row r="906" spans="1:10">
      <c r="A906" s="71"/>
      <c r="B906" s="72"/>
      <c r="C906" s="71"/>
      <c r="D906" s="71"/>
      <c r="E906" s="71"/>
      <c r="F906" s="71"/>
      <c r="G906" s="71"/>
      <c r="H906" s="71"/>
      <c r="I906" s="71"/>
      <c r="J906" s="71"/>
    </row>
    <row r="907" spans="1:10">
      <c r="A907" s="71"/>
      <c r="B907" s="72"/>
      <c r="C907" s="71"/>
      <c r="D907" s="71"/>
      <c r="E907" s="71"/>
      <c r="F907" s="71"/>
      <c r="G907" s="71"/>
      <c r="H907" s="71"/>
      <c r="I907" s="71"/>
      <c r="J907" s="71"/>
    </row>
    <row r="908" spans="1:10">
      <c r="A908" s="71"/>
      <c r="B908" s="72"/>
      <c r="C908" s="71"/>
      <c r="D908" s="71"/>
      <c r="E908" s="71"/>
      <c r="F908" s="71"/>
      <c r="G908" s="71"/>
      <c r="H908" s="71"/>
      <c r="I908" s="71"/>
      <c r="J908" s="71"/>
    </row>
    <row r="909" spans="1:10">
      <c r="A909" s="71"/>
      <c r="B909" s="72"/>
      <c r="C909" s="71"/>
      <c r="D909" s="71"/>
      <c r="E909" s="71"/>
      <c r="F909" s="71"/>
      <c r="G909" s="71"/>
      <c r="H909" s="71"/>
      <c r="I909" s="71"/>
      <c r="J909" s="71"/>
    </row>
    <row r="910" spans="1:10">
      <c r="A910" s="71"/>
      <c r="B910" s="72"/>
      <c r="C910" s="71"/>
      <c r="D910" s="71"/>
      <c r="E910" s="71"/>
      <c r="F910" s="71"/>
      <c r="G910" s="71"/>
      <c r="H910" s="71"/>
      <c r="I910" s="71"/>
      <c r="J910" s="71"/>
    </row>
  </sheetData>
  <mergeCells count="6">
    <mergeCell ref="B40:C40"/>
    <mergeCell ref="B1:I1"/>
    <mergeCell ref="B2:I2"/>
    <mergeCell ref="D35:E35"/>
    <mergeCell ref="F35:G35"/>
    <mergeCell ref="H35:I35"/>
  </mergeCells>
  <conditionalFormatting sqref="A20:B26 J20:J26">
    <cfRule type="cellIs" dxfId="34" priority="20" operator="equal">
      <formula>0</formula>
    </cfRule>
  </conditionalFormatting>
  <conditionalFormatting sqref="A35:C35 H35:J35">
    <cfRule type="cellIs" dxfId="33" priority="23" operator="equal">
      <formula>0</formula>
    </cfRule>
  </conditionalFormatting>
  <conditionalFormatting sqref="A27:G28">
    <cfRule type="cellIs" dxfId="32" priority="8" operator="equal">
      <formula>0</formula>
    </cfRule>
  </conditionalFormatting>
  <conditionalFormatting sqref="A1:J19">
    <cfRule type="cellIs" dxfId="31" priority="22" operator="equal">
      <formula>0</formula>
    </cfRule>
  </conditionalFormatting>
  <conditionalFormatting sqref="A29:J34">
    <cfRule type="cellIs" dxfId="30" priority="17" operator="equal">
      <formula>0</formula>
    </cfRule>
  </conditionalFormatting>
  <conditionalFormatting sqref="A36:J40">
    <cfRule type="cellIs" dxfId="29" priority="7" operator="equal">
      <formula>0</formula>
    </cfRule>
  </conditionalFormatting>
  <conditionalFormatting sqref="B37:B39 D37:I39">
    <cfRule type="cellIs" dxfId="28" priority="25" operator="equal">
      <formula>0</formula>
    </cfRule>
  </conditionalFormatting>
  <conditionalFormatting sqref="C21:G21">
    <cfRule type="cellIs" dxfId="27" priority="5" operator="equal">
      <formula>0</formula>
    </cfRule>
  </conditionalFormatting>
  <conditionalFormatting sqref="C23:G25">
    <cfRule type="cellIs" dxfId="26" priority="10" operator="equal">
      <formula>0</formula>
    </cfRule>
  </conditionalFormatting>
  <conditionalFormatting sqref="C20:H20 C22:I22">
    <cfRule type="cellIs" dxfId="25" priority="19" operator="equal">
      <formula>0</formula>
    </cfRule>
  </conditionalFormatting>
  <conditionalFormatting sqref="D36:G40">
    <cfRule type="expression" dxfId="24" priority="24">
      <formula>#REF!="hide"</formula>
    </cfRule>
  </conditionalFormatting>
  <conditionalFormatting sqref="I20:I21">
    <cfRule type="cellIs" dxfId="23" priority="15" operator="equal">
      <formula>0</formula>
    </cfRule>
  </conditionalFormatting>
  <conditionalFormatting sqref="I23:I24 I26">
    <cfRule type="cellIs" dxfId="22" priority="12" operator="equal">
      <formula>0</formula>
    </cfRule>
  </conditionalFormatting>
  <conditionalFormatting sqref="I27:J28">
    <cfRule type="cellIs" dxfId="21" priority="4" operator="equal">
      <formula>0</formula>
    </cfRule>
  </conditionalFormatting>
  <conditionalFormatting sqref="H25">
    <cfRule type="cellIs" dxfId="20" priority="3" operator="equal">
      <formula>0</formula>
    </cfRule>
  </conditionalFormatting>
  <conditionalFormatting sqref="I25">
    <cfRule type="cellIs" dxfId="19" priority="2" operator="equal">
      <formula>0</formula>
    </cfRule>
  </conditionalFormatting>
  <conditionalFormatting sqref="C26:G26">
    <cfRule type="cellIs" dxfId="18" priority="1" operator="equal">
      <formula>0</formula>
    </cfRule>
  </conditionalFormatting>
  <dataValidations count="1">
    <dataValidation allowBlank="1" showErrorMessage="1" sqref="F19:I21 C20:E21 C22:I28" xr:uid="{E3E21793-4EAF-4194-82D9-B4DB131386E2}"/>
  </dataValidations>
  <pageMargins left="0.25" right="0.16" top="0.75" bottom="0.75" header="0.3" footer="0.3"/>
  <pageSetup paperSize="9" scale="80" firstPageNumber="0"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E811E-26CF-4EE1-B694-8CA42D28CE85}">
  <sheetPr>
    <tabColor theme="9" tint="-0.499984740745262"/>
  </sheetPr>
  <dimension ref="A1:O920"/>
  <sheetViews>
    <sheetView tabSelected="1" topLeftCell="A10" zoomScaleNormal="100" workbookViewId="0">
      <selection activeCell="K34" sqref="K34"/>
    </sheetView>
  </sheetViews>
  <sheetFormatPr defaultRowHeight="15" outlineLevelRow="1"/>
  <cols>
    <col min="1" max="1" width="1.3984375" style="77" customWidth="1"/>
    <col min="2" max="2" width="7.09765625" style="77" customWidth="1"/>
    <col min="3" max="3" width="74" style="77" customWidth="1"/>
    <col min="4" max="4" width="7.3984375" style="77" customWidth="1"/>
    <col min="5" max="5" width="22.3984375" style="77" customWidth="1"/>
    <col min="6" max="6" width="8.09765625" style="77" bestFit="1" customWidth="1"/>
    <col min="7" max="7" width="18.8984375" style="77" customWidth="1"/>
    <col min="8" max="8" width="9" style="77" bestFit="1" customWidth="1"/>
    <col min="9" max="9" width="20.3984375" style="77" customWidth="1"/>
    <col min="10" max="10" width="2.3984375" style="77" customWidth="1"/>
    <col min="11" max="11" width="13.8984375" bestFit="1" customWidth="1"/>
    <col min="13" max="13" width="15.09765625" bestFit="1" customWidth="1"/>
    <col min="14" max="14" width="11.09765625" bestFit="1" customWidth="1"/>
  </cols>
  <sheetData>
    <row r="1" spans="1:14" ht="46.5" customHeight="1">
      <c r="A1" s="1"/>
      <c r="B1" s="175" t="s">
        <v>90</v>
      </c>
      <c r="C1" s="175"/>
      <c r="D1" s="175"/>
      <c r="E1" s="175"/>
      <c r="F1" s="175"/>
      <c r="G1" s="175"/>
      <c r="H1" s="175"/>
      <c r="I1" s="175"/>
      <c r="J1" s="2"/>
    </row>
    <row r="2" spans="1:14" ht="58.35" customHeight="1">
      <c r="A2" s="1"/>
      <c r="B2" s="176" t="s">
        <v>1</v>
      </c>
      <c r="C2" s="176"/>
      <c r="D2" s="176"/>
      <c r="E2" s="176"/>
      <c r="F2" s="176"/>
      <c r="G2" s="176"/>
      <c r="H2" s="176"/>
      <c r="I2" s="176"/>
      <c r="J2" s="2"/>
    </row>
    <row r="3" spans="1:14">
      <c r="A3" s="1"/>
      <c r="B3" s="3"/>
      <c r="C3" s="1"/>
      <c r="D3" s="1"/>
      <c r="E3" s="1"/>
      <c r="F3" s="1"/>
      <c r="G3" s="1"/>
      <c r="H3" s="1"/>
      <c r="I3" s="1"/>
      <c r="J3" s="1"/>
    </row>
    <row r="4" spans="1:14" ht="15.6">
      <c r="A4" s="1"/>
      <c r="B4" s="4" t="s">
        <v>2</v>
      </c>
      <c r="C4" s="5" t="s">
        <v>3</v>
      </c>
      <c r="D4" s="5"/>
      <c r="E4" s="5"/>
      <c r="F4" s="5"/>
      <c r="G4" s="5"/>
      <c r="H4" s="5"/>
      <c r="I4" s="6"/>
      <c r="J4" s="1"/>
    </row>
    <row r="5" spans="1:14" ht="15.6">
      <c r="A5" s="1"/>
      <c r="B5" s="7">
        <v>1</v>
      </c>
      <c r="C5" s="8" t="s">
        <v>4</v>
      </c>
      <c r="D5" s="8"/>
      <c r="E5" s="8"/>
      <c r="F5" s="8"/>
      <c r="G5" s="8"/>
      <c r="H5" s="9"/>
      <c r="I5" s="87" t="str">
        <f>TTKQ!I5</f>
        <v>S2.3108</v>
      </c>
      <c r="J5" s="1"/>
      <c r="K5" s="99" t="s">
        <v>50</v>
      </c>
    </row>
    <row r="6" spans="1:14">
      <c r="A6" s="1"/>
      <c r="B6" s="10">
        <v>2</v>
      </c>
      <c r="C6" s="11" t="s">
        <v>46</v>
      </c>
      <c r="D6" s="11"/>
      <c r="E6" s="11"/>
      <c r="F6" s="11"/>
      <c r="G6" s="11"/>
      <c r="H6" s="12"/>
      <c r="I6" s="13" t="str">
        <f>TTKQ!I6</f>
        <v>Imperia Sky Park</v>
      </c>
      <c r="J6" s="1"/>
      <c r="K6" s="99" t="s">
        <v>50</v>
      </c>
    </row>
    <row r="7" spans="1:14">
      <c r="A7" s="1"/>
      <c r="B7" s="10">
        <v>3</v>
      </c>
      <c r="C7" s="11" t="s">
        <v>5</v>
      </c>
      <c r="D7" s="11"/>
      <c r="E7" s="11"/>
      <c r="F7" s="11"/>
      <c r="G7" s="11"/>
      <c r="H7" s="12"/>
      <c r="I7" s="13" t="str">
        <f>TTKQ!I7</f>
        <v>S2</v>
      </c>
      <c r="J7" s="1"/>
      <c r="K7" s="99" t="s">
        <v>50</v>
      </c>
    </row>
    <row r="8" spans="1:14">
      <c r="A8" s="1"/>
      <c r="B8" s="10">
        <v>4</v>
      </c>
      <c r="C8" s="11" t="s">
        <v>6</v>
      </c>
      <c r="D8" s="11"/>
      <c r="E8" s="11"/>
      <c r="F8" s="11"/>
      <c r="G8" s="11"/>
      <c r="H8" s="12"/>
      <c r="I8" s="13">
        <f>TTKQ!I8</f>
        <v>12</v>
      </c>
      <c r="J8" s="1"/>
      <c r="K8" s="99" t="s">
        <v>50</v>
      </c>
    </row>
    <row r="9" spans="1:14">
      <c r="A9" s="1"/>
      <c r="B9" s="10">
        <v>5</v>
      </c>
      <c r="C9" s="11" t="s">
        <v>7</v>
      </c>
      <c r="D9" s="11"/>
      <c r="E9" s="11"/>
      <c r="F9" s="11"/>
      <c r="G9" s="11"/>
      <c r="H9" s="12"/>
      <c r="I9" s="13" t="str">
        <f>TTKQ!I9</f>
        <v>08</v>
      </c>
      <c r="J9" s="1"/>
      <c r="K9" s="99" t="s">
        <v>50</v>
      </c>
    </row>
    <row r="10" spans="1:14" ht="15.6">
      <c r="A10" s="1"/>
      <c r="B10" s="10">
        <v>6</v>
      </c>
      <c r="C10" s="11" t="s">
        <v>8</v>
      </c>
      <c r="D10" s="11"/>
      <c r="E10" s="11"/>
      <c r="F10" s="11"/>
      <c r="G10" s="11"/>
      <c r="H10" s="12"/>
      <c r="I10" s="87">
        <f>TTKQ!I10</f>
        <v>0</v>
      </c>
      <c r="J10" s="1"/>
      <c r="K10" s="99" t="s">
        <v>50</v>
      </c>
    </row>
    <row r="11" spans="1:14" ht="15.6">
      <c r="A11" s="1"/>
      <c r="B11" s="10">
        <v>7</v>
      </c>
      <c r="C11" s="11" t="s">
        <v>49</v>
      </c>
      <c r="D11" s="86"/>
      <c r="E11" s="86"/>
      <c r="F11" s="86"/>
      <c r="G11" s="86"/>
      <c r="H11" s="1"/>
      <c r="I11" s="88">
        <f>TTKQ!I11</f>
        <v>0</v>
      </c>
      <c r="J11" s="1"/>
      <c r="K11" s="99" t="s">
        <v>50</v>
      </c>
    </row>
    <row r="12" spans="1:14" ht="15.6">
      <c r="A12" s="1"/>
      <c r="B12" s="4" t="s">
        <v>9</v>
      </c>
      <c r="C12" s="5" t="s">
        <v>10</v>
      </c>
      <c r="D12" s="5"/>
      <c r="E12" s="5"/>
      <c r="F12" s="5"/>
      <c r="G12" s="5"/>
      <c r="H12" s="5"/>
      <c r="I12" s="6"/>
      <c r="J12" s="1"/>
    </row>
    <row r="13" spans="1:14" ht="15.6">
      <c r="A13" s="1"/>
      <c r="B13" s="14"/>
      <c r="C13" s="15" t="s">
        <v>11</v>
      </c>
      <c r="D13" s="16"/>
      <c r="E13" s="16"/>
      <c r="F13" s="16"/>
      <c r="G13" s="16"/>
      <c r="H13" s="17"/>
      <c r="I13" s="89">
        <f>TTKQ!I13</f>
        <v>9424447600</v>
      </c>
      <c r="J13" s="1"/>
      <c r="K13" s="99" t="s">
        <v>50</v>
      </c>
      <c r="N13" s="107">
        <f>I13-TTKQ!I13</f>
        <v>0</v>
      </c>
    </row>
    <row r="14" spans="1:14">
      <c r="A14" s="1"/>
      <c r="B14" s="18"/>
      <c r="C14" s="19" t="s">
        <v>12</v>
      </c>
      <c r="D14" s="19"/>
      <c r="E14" s="19"/>
      <c r="F14" s="19"/>
      <c r="G14" s="19"/>
      <c r="H14" s="20"/>
      <c r="I14" s="21">
        <f>ROUND(TTKQ!I14+(I13-TTKQ!I13)*10%,0)</f>
        <v>942444760</v>
      </c>
      <c r="J14" s="1"/>
      <c r="K14" s="99" t="s">
        <v>50</v>
      </c>
      <c r="N14" s="107">
        <f>I14-TTKQ!I14</f>
        <v>0</v>
      </c>
    </row>
    <row r="15" spans="1:14" ht="15.6">
      <c r="A15" s="1"/>
      <c r="B15" s="18"/>
      <c r="C15" s="15" t="s">
        <v>13</v>
      </c>
      <c r="D15" s="19"/>
      <c r="E15" s="19"/>
      <c r="F15" s="19"/>
      <c r="G15" s="19"/>
      <c r="H15" s="20"/>
      <c r="I15" s="89">
        <f>I13+I14</f>
        <v>10366892360</v>
      </c>
      <c r="J15" s="1"/>
      <c r="K15" s="99" t="s">
        <v>50</v>
      </c>
      <c r="N15" s="107">
        <f>I15-TTKQ!I15</f>
        <v>0</v>
      </c>
    </row>
    <row r="16" spans="1:14">
      <c r="A16" s="1"/>
      <c r="B16" s="18"/>
      <c r="C16" s="19" t="s">
        <v>14</v>
      </c>
      <c r="D16" s="19"/>
      <c r="E16" s="19"/>
      <c r="F16" s="19"/>
      <c r="G16" s="19"/>
      <c r="H16" s="20"/>
      <c r="I16" s="21">
        <f>ROUND(I13*2%,0)</f>
        <v>188488952</v>
      </c>
      <c r="J16" s="1"/>
      <c r="K16" s="99" t="s">
        <v>50</v>
      </c>
      <c r="N16" s="107">
        <f>I16-TTKQ!I16</f>
        <v>0</v>
      </c>
    </row>
    <row r="17" spans="1:14" ht="15.6">
      <c r="A17" s="1"/>
      <c r="B17" s="22"/>
      <c r="C17" s="23" t="s">
        <v>15</v>
      </c>
      <c r="D17" s="24"/>
      <c r="E17" s="24"/>
      <c r="F17" s="24"/>
      <c r="G17" s="24"/>
      <c r="H17" s="25"/>
      <c r="I17" s="90">
        <f>I15+I16</f>
        <v>10555381312</v>
      </c>
      <c r="J17" s="1"/>
      <c r="K17" s="99" t="s">
        <v>50</v>
      </c>
      <c r="N17" s="107">
        <f>I17-TTKQ!I17</f>
        <v>0</v>
      </c>
    </row>
    <row r="18" spans="1:14" ht="15.6">
      <c r="A18" s="1"/>
      <c r="B18" s="27" t="s">
        <v>16</v>
      </c>
      <c r="C18" s="28" t="s">
        <v>17</v>
      </c>
      <c r="D18" s="5"/>
      <c r="E18" s="5"/>
      <c r="F18" s="5"/>
      <c r="G18" s="5"/>
      <c r="H18" s="5"/>
      <c r="I18" s="6"/>
      <c r="J18" s="1"/>
    </row>
    <row r="19" spans="1:14" ht="15.6">
      <c r="A19" s="1"/>
      <c r="B19" s="135" t="s">
        <v>18</v>
      </c>
      <c r="C19" s="136" t="s">
        <v>19</v>
      </c>
      <c r="D19" s="137"/>
      <c r="E19" s="137"/>
      <c r="F19" s="137"/>
      <c r="G19" s="137"/>
      <c r="H19" s="137"/>
      <c r="I19" s="138" t="s">
        <v>87</v>
      </c>
      <c r="J19" s="1"/>
    </row>
    <row r="20" spans="1:14" ht="15.6">
      <c r="A20" s="1"/>
      <c r="B20" s="139"/>
      <c r="C20" s="94"/>
      <c r="D20" s="92"/>
      <c r="E20" s="92"/>
      <c r="F20" s="92"/>
      <c r="G20" s="92"/>
      <c r="H20" s="92"/>
      <c r="I20" s="172" t="s">
        <v>98</v>
      </c>
      <c r="J20" s="1"/>
    </row>
    <row r="21" spans="1:14" ht="15.6">
      <c r="A21" s="1"/>
      <c r="B21" s="139" t="s">
        <v>20</v>
      </c>
      <c r="C21" s="94" t="s">
        <v>88</v>
      </c>
      <c r="D21" s="92"/>
      <c r="E21" s="92"/>
      <c r="F21" s="92"/>
      <c r="G21" s="92"/>
      <c r="H21" s="92"/>
      <c r="I21" s="140">
        <f>I23+I29+I22</f>
        <v>-435649670.19999999</v>
      </c>
      <c r="J21" s="1"/>
      <c r="L21" s="105"/>
      <c r="N21" s="107">
        <f>I21-TTKQ!I20</f>
        <v>0</v>
      </c>
    </row>
    <row r="22" spans="1:14" s="121" customFormat="1" ht="15.6">
      <c r="A22" s="114"/>
      <c r="B22" s="166"/>
      <c r="C22" s="159" t="s">
        <v>56</v>
      </c>
      <c r="D22" s="160"/>
      <c r="E22" s="161"/>
      <c r="F22" s="161"/>
      <c r="G22" s="161"/>
      <c r="H22" s="162">
        <f>TTKQ!H21</f>
        <v>6.9999999999999993E-3</v>
      </c>
      <c r="I22" s="167">
        <f>-H22*I13</f>
        <v>-65971133.199999996</v>
      </c>
      <c r="J22" s="114"/>
      <c r="K22" s="163" t="s">
        <v>59</v>
      </c>
      <c r="L22" s="164"/>
      <c r="N22" s="165">
        <f>I22-TTKQ!I21</f>
        <v>0</v>
      </c>
    </row>
    <row r="23" spans="1:14" ht="15.6">
      <c r="A23" s="1"/>
      <c r="B23" s="142"/>
      <c r="C23" s="94" t="s">
        <v>45</v>
      </c>
      <c r="D23" s="92"/>
      <c r="E23" s="97"/>
      <c r="F23" s="97"/>
      <c r="G23" s="97"/>
      <c r="H23" s="35"/>
      <c r="I23" s="143">
        <f>SUM(I24:I28)</f>
        <v>-369678537</v>
      </c>
      <c r="J23" s="1"/>
      <c r="K23" s="79"/>
      <c r="L23" s="105"/>
      <c r="N23" s="107">
        <f>I23-TTKQ!I22</f>
        <v>0</v>
      </c>
    </row>
    <row r="24" spans="1:14" ht="15.6">
      <c r="A24" s="1"/>
      <c r="B24" s="142"/>
      <c r="C24" s="98" t="str">
        <f>TTKQ!C23</f>
        <v>Quà tặng “Signature Privilege”</v>
      </c>
      <c r="D24" s="92"/>
      <c r="E24" s="97"/>
      <c r="F24" s="97"/>
      <c r="G24" s="97"/>
      <c r="H24" s="111">
        <f>TTKQ!H23</f>
        <v>0.02</v>
      </c>
      <c r="I24" s="168">
        <f>-ROUND(H24*SUM(I$13,$I$22),0)</f>
        <v>-187169529</v>
      </c>
      <c r="J24" s="1"/>
      <c r="K24" s="99" t="s">
        <v>50</v>
      </c>
      <c r="N24" s="107">
        <f>I24-TTKQ!I23</f>
        <v>0</v>
      </c>
    </row>
    <row r="25" spans="1:14" ht="15.6">
      <c r="A25" s="1"/>
      <c r="B25" s="142"/>
      <c r="C25" s="98" t="str">
        <f>TTKQ!C24</f>
        <v>Quà tặng “Frontage Privilege” - S3</v>
      </c>
      <c r="D25" s="92"/>
      <c r="E25" s="97"/>
      <c r="F25" s="97"/>
      <c r="G25" s="97"/>
      <c r="H25" s="111">
        <f>TTKQ!H24</f>
        <v>0.01</v>
      </c>
      <c r="I25" s="168">
        <f>-ROUND(H25*SUM(I$13,I$24:I24,$I$22),0)</f>
        <v>-91713069</v>
      </c>
      <c r="J25" s="1"/>
      <c r="K25" s="99" t="s">
        <v>50</v>
      </c>
      <c r="N25" s="107">
        <f>I25-TTKQ!I24</f>
        <v>0</v>
      </c>
    </row>
    <row r="26" spans="1:14" ht="15.6">
      <c r="A26" s="1"/>
      <c r="B26" s="142"/>
      <c r="C26" s="98" t="str">
        <f>TTKQ!C25</f>
        <v>Quà tặng “An Phúc Phú Quý”- E1, S1, S2</v>
      </c>
      <c r="D26" s="92"/>
      <c r="E26" s="97"/>
      <c r="F26" s="97"/>
      <c r="G26" s="97"/>
      <c r="H26" s="97"/>
      <c r="I26" s="157">
        <f>TTKQ!$I$25</f>
        <v>0</v>
      </c>
      <c r="J26" s="1"/>
      <c r="K26" s="99"/>
      <c r="N26" s="107"/>
    </row>
    <row r="27" spans="1:14" ht="15.6">
      <c r="A27" s="1"/>
      <c r="B27" s="142"/>
      <c r="C27" s="98" t="str">
        <f>TTKQ!C26</f>
        <v>Quà tặng “Elite Privilege”</v>
      </c>
      <c r="D27" s="92"/>
      <c r="E27" s="97"/>
      <c r="F27" s="97"/>
      <c r="G27" s="97"/>
      <c r="H27" s="111">
        <f>TTKQ!H26</f>
        <v>0.01</v>
      </c>
      <c r="I27" s="168">
        <f>-ROUND(H27*SUM(I$13,I$24:I26,$I$22),0)</f>
        <v>-90795939</v>
      </c>
      <c r="J27" s="1"/>
      <c r="K27" s="79" t="s">
        <v>43</v>
      </c>
      <c r="N27" s="107">
        <f>I27-TTKQ!I26</f>
        <v>0</v>
      </c>
    </row>
    <row r="28" spans="1:14" outlineLevel="1">
      <c r="A28" s="1"/>
      <c r="B28" s="142"/>
      <c r="C28" s="98" t="str">
        <f>TTKQ!C27</f>
        <v>Chiết khấu ưu đãi khác 3 (nếu có)</v>
      </c>
      <c r="D28" s="92"/>
      <c r="E28" s="97"/>
      <c r="F28" s="97"/>
      <c r="G28" s="97"/>
      <c r="H28" s="111">
        <f>TTKQ!H27</f>
        <v>0</v>
      </c>
      <c r="I28" s="145">
        <f>TTKQ!I27</f>
        <v>0</v>
      </c>
      <c r="J28" s="1"/>
      <c r="K28" s="79" t="s">
        <v>43</v>
      </c>
      <c r="N28" s="107">
        <f>I28-TTKQ!I27</f>
        <v>0</v>
      </c>
    </row>
    <row r="29" spans="1:14" ht="15.6">
      <c r="A29" s="1"/>
      <c r="B29" s="142"/>
      <c r="C29" s="94" t="s">
        <v>84</v>
      </c>
      <c r="D29" s="92"/>
      <c r="E29" s="97"/>
      <c r="F29" s="97"/>
      <c r="G29" s="97"/>
      <c r="H29" s="111">
        <v>0</v>
      </c>
      <c r="I29" s="168">
        <f>ROUND(H29*SUM(I$13,I$24:I28,$I$22),0)</f>
        <v>0</v>
      </c>
      <c r="J29" s="1"/>
      <c r="K29" s="79" t="s">
        <v>60</v>
      </c>
    </row>
    <row r="30" spans="1:14" ht="15.6">
      <c r="A30" s="1"/>
      <c r="B30" s="169" t="s">
        <v>44</v>
      </c>
      <c r="C30" s="129" t="s">
        <v>101</v>
      </c>
      <c r="D30" s="130"/>
      <c r="E30" s="131"/>
      <c r="F30" s="131"/>
      <c r="G30" s="131"/>
      <c r="H30" s="127">
        <v>0.06</v>
      </c>
      <c r="I30" s="170">
        <f>ROUND(H30*SUM(I$13,I$24:I29,$I$22),0)</f>
        <v>539327876</v>
      </c>
      <c r="J30" s="1"/>
      <c r="K30" s="79" t="s">
        <v>60</v>
      </c>
    </row>
    <row r="31" spans="1:14" ht="15.6">
      <c r="A31" s="1"/>
      <c r="B31" s="139" t="s">
        <v>95</v>
      </c>
      <c r="C31" s="94" t="s">
        <v>97</v>
      </c>
      <c r="D31" s="92"/>
      <c r="E31" s="92"/>
      <c r="F31" s="92"/>
      <c r="G31" s="92"/>
      <c r="H31" s="100"/>
      <c r="I31" s="140"/>
      <c r="J31" s="1"/>
      <c r="K31" s="79"/>
    </row>
    <row r="32" spans="1:14" ht="15.6">
      <c r="A32" s="1"/>
      <c r="B32" s="142"/>
      <c r="C32" s="92" t="s">
        <v>21</v>
      </c>
      <c r="D32" s="92"/>
      <c r="E32" s="180" t="s">
        <v>85</v>
      </c>
      <c r="F32" s="180"/>
      <c r="G32" s="180"/>
      <c r="H32" s="180"/>
      <c r="I32" s="181"/>
      <c r="J32" s="1"/>
    </row>
    <row r="33" spans="1:15">
      <c r="A33" s="1"/>
      <c r="B33" s="142"/>
      <c r="C33" s="92" t="s">
        <v>22</v>
      </c>
      <c r="D33" s="92"/>
      <c r="E33" s="92"/>
      <c r="F33" s="92"/>
      <c r="G33" s="92"/>
      <c r="H33" s="100"/>
      <c r="I33" s="171">
        <v>0</v>
      </c>
      <c r="J33" s="1"/>
    </row>
    <row r="34" spans="1:15">
      <c r="A34" s="1"/>
      <c r="B34" s="142"/>
      <c r="C34" s="92" t="s">
        <v>23</v>
      </c>
      <c r="D34" s="92"/>
      <c r="E34" s="180" t="s">
        <v>37</v>
      </c>
      <c r="F34" s="180"/>
      <c r="G34" s="180"/>
      <c r="H34" s="180"/>
      <c r="I34" s="181"/>
      <c r="J34" s="1"/>
    </row>
    <row r="35" spans="1:15" ht="15.6">
      <c r="A35" s="1"/>
      <c r="B35" s="139" t="s">
        <v>96</v>
      </c>
      <c r="C35" s="94" t="s">
        <v>100</v>
      </c>
      <c r="D35" s="92"/>
      <c r="E35" s="92"/>
      <c r="F35" s="92"/>
      <c r="G35" s="92"/>
      <c r="H35" s="100"/>
      <c r="I35" s="140"/>
      <c r="J35" s="1"/>
      <c r="K35" s="79"/>
    </row>
    <row r="36" spans="1:15">
      <c r="A36" s="1"/>
      <c r="B36" s="142"/>
      <c r="C36" s="92" t="s">
        <v>21</v>
      </c>
      <c r="D36" s="92"/>
      <c r="E36" s="180" t="str">
        <f>IF($I$20="Lựa chọn 2","24 tháng kể từ ngày kết thúc HTLS 0%","")</f>
        <v/>
      </c>
      <c r="F36" s="180"/>
      <c r="G36" s="180"/>
      <c r="H36" s="180"/>
      <c r="I36" s="181"/>
      <c r="J36" s="1"/>
    </row>
    <row r="37" spans="1:15">
      <c r="A37" s="1"/>
      <c r="B37" s="142"/>
      <c r="C37" s="92" t="s">
        <v>22</v>
      </c>
      <c r="D37" s="92"/>
      <c r="E37" s="92"/>
      <c r="F37" s="92"/>
      <c r="G37" s="92"/>
      <c r="H37" s="100"/>
      <c r="I37" s="171" t="str">
        <f>IF($I$20="Lựa chọn 2","Lãi suất khách phải trả không lớn hơn 6,8%/năm","")</f>
        <v/>
      </c>
      <c r="J37" s="1"/>
    </row>
    <row r="38" spans="1:15">
      <c r="A38" s="1"/>
      <c r="B38" s="142"/>
      <c r="C38" s="92" t="s">
        <v>99</v>
      </c>
      <c r="D38" s="92"/>
      <c r="E38" s="180" t="str">
        <f>IF($I$20="Lựa chọn 2","Theo dự nợ thực tế (tối đa bằng giá trị khoản vay đã được HTLS 0%)","")</f>
        <v/>
      </c>
      <c r="F38" s="180"/>
      <c r="G38" s="180"/>
      <c r="H38" s="180"/>
      <c r="I38" s="181"/>
      <c r="J38" s="1"/>
    </row>
    <row r="39" spans="1:15" ht="15.6">
      <c r="A39" s="1"/>
      <c r="B39" s="147"/>
      <c r="C39" s="36" t="s">
        <v>24</v>
      </c>
      <c r="D39" s="16"/>
      <c r="E39" s="16"/>
      <c r="F39" s="16"/>
      <c r="G39" s="16"/>
      <c r="H39" s="17"/>
      <c r="I39" s="148">
        <f>I13+I21+I30</f>
        <v>9528125805.7999992</v>
      </c>
      <c r="J39" s="1"/>
      <c r="K39" s="106"/>
      <c r="M39" s="109"/>
      <c r="N39" s="107"/>
      <c r="O39" s="106"/>
    </row>
    <row r="40" spans="1:15">
      <c r="A40" s="1"/>
      <c r="B40" s="149"/>
      <c r="C40" s="19" t="s">
        <v>12</v>
      </c>
      <c r="D40" s="19"/>
      <c r="E40" s="19"/>
      <c r="F40" s="19"/>
      <c r="G40" s="19"/>
      <c r="H40" s="20"/>
      <c r="I40" s="150">
        <f>ROUND(I14+(I21+I30)*10%,0)</f>
        <v>952812581</v>
      </c>
      <c r="J40" s="1"/>
      <c r="K40" s="106"/>
      <c r="M40" s="109"/>
      <c r="N40" s="107"/>
      <c r="O40" s="106"/>
    </row>
    <row r="41" spans="1:15" ht="15.6">
      <c r="A41" s="1"/>
      <c r="B41" s="149"/>
      <c r="C41" s="15" t="s">
        <v>25</v>
      </c>
      <c r="D41" s="19"/>
      <c r="E41" s="19"/>
      <c r="F41" s="19"/>
      <c r="G41" s="19"/>
      <c r="H41" s="20"/>
      <c r="I41" s="151">
        <f>I39+I40</f>
        <v>10480938386.799999</v>
      </c>
      <c r="J41" s="1"/>
      <c r="K41" s="106"/>
      <c r="M41" s="109"/>
      <c r="N41" s="107"/>
      <c r="O41" s="106"/>
    </row>
    <row r="42" spans="1:15">
      <c r="A42" s="1"/>
      <c r="B42" s="149"/>
      <c r="C42" s="19" t="s">
        <v>14</v>
      </c>
      <c r="D42" s="19"/>
      <c r="E42" s="19"/>
      <c r="F42" s="19"/>
      <c r="G42" s="19"/>
      <c r="H42" s="20"/>
      <c r="I42" s="150">
        <f>ROUND(I39*2%,0)</f>
        <v>190562516</v>
      </c>
      <c r="J42" s="1"/>
      <c r="K42" s="106"/>
      <c r="M42" s="109"/>
      <c r="N42" s="107"/>
      <c r="O42" s="106"/>
    </row>
    <row r="43" spans="1:15" ht="15.6">
      <c r="A43" s="1"/>
      <c r="B43" s="152"/>
      <c r="C43" s="153" t="s">
        <v>26</v>
      </c>
      <c r="D43" s="154"/>
      <c r="E43" s="154"/>
      <c r="F43" s="154"/>
      <c r="G43" s="154"/>
      <c r="H43" s="155"/>
      <c r="I43" s="156">
        <f>I41+I42</f>
        <v>10671500902.799999</v>
      </c>
      <c r="J43" s="1"/>
      <c r="K43" s="106"/>
      <c r="M43" s="109"/>
      <c r="N43" s="107"/>
      <c r="O43" s="106"/>
    </row>
    <row r="44" spans="1:15" ht="15.6">
      <c r="A44" s="1"/>
      <c r="B44" s="132" t="e">
        <f>IF(#REF!="IV","V","IV")</f>
        <v>#REF!</v>
      </c>
      <c r="C44" s="133" t="s">
        <v>33</v>
      </c>
      <c r="D44" s="133"/>
      <c r="E44" s="133"/>
      <c r="F44" s="133"/>
      <c r="G44" s="133"/>
      <c r="H44" s="133"/>
      <c r="I44" s="134"/>
      <c r="J44" s="1"/>
    </row>
    <row r="45" spans="1:15" ht="15.6">
      <c r="A45" s="1"/>
      <c r="B45" s="45" t="s">
        <v>27</v>
      </c>
      <c r="C45" s="45" t="s">
        <v>28</v>
      </c>
      <c r="D45" s="177" t="s">
        <v>29</v>
      </c>
      <c r="E45" s="177"/>
      <c r="F45" s="178" t="s">
        <v>30</v>
      </c>
      <c r="G45" s="178"/>
      <c r="H45" s="178" t="s">
        <v>31</v>
      </c>
      <c r="I45" s="179"/>
      <c r="J45" s="1"/>
    </row>
    <row r="46" spans="1:15" ht="15.6">
      <c r="A46" s="1"/>
      <c r="B46" s="58"/>
      <c r="C46" s="59" t="s">
        <v>34</v>
      </c>
      <c r="D46" s="60"/>
      <c r="E46" s="61">
        <f>I46</f>
        <v>0</v>
      </c>
      <c r="F46" s="60"/>
      <c r="G46" s="62"/>
      <c r="H46" s="63"/>
      <c r="I46" s="64">
        <f>IF(TTKQ!$I$19="Y",0,100000000)</f>
        <v>0</v>
      </c>
      <c r="J46" s="52"/>
    </row>
    <row r="47" spans="1:15" ht="15.6">
      <c r="A47" s="1"/>
      <c r="B47" s="82">
        <v>1</v>
      </c>
      <c r="C47" s="65" t="s">
        <v>53</v>
      </c>
      <c r="D47" s="66">
        <v>0.2</v>
      </c>
      <c r="E47" s="67">
        <f>ROUND(D47*I$41,0)-E46</f>
        <v>2096187677</v>
      </c>
      <c r="F47" s="66"/>
      <c r="G47" s="49">
        <f>ROUND(F47*I$41,0)</f>
        <v>0</v>
      </c>
      <c r="H47" s="69">
        <f>(I47+I46)/I$41</f>
        <v>0.19999999996565196</v>
      </c>
      <c r="I47" s="51">
        <f t="shared" ref="I47" si="0">E47+G47</f>
        <v>2096187677</v>
      </c>
      <c r="J47" s="52"/>
      <c r="K47" t="s">
        <v>81</v>
      </c>
      <c r="M47" s="124">
        <f>IF(TTKQ!$I$19="Y",I47-TTKQ!$I$38,I47)</f>
        <v>613036019</v>
      </c>
    </row>
    <row r="48" spans="1:15" ht="15.6">
      <c r="A48" s="1"/>
      <c r="B48" s="46">
        <v>2</v>
      </c>
      <c r="C48" s="53" t="s">
        <v>35</v>
      </c>
      <c r="D48" s="47"/>
      <c r="E48" s="67">
        <f>ROUND(D48*I$41,0)</f>
        <v>0</v>
      </c>
      <c r="F48" s="47">
        <v>0.7</v>
      </c>
      <c r="G48" s="49">
        <f>ROUND(F48*I$41,0)</f>
        <v>7336656871</v>
      </c>
      <c r="H48" s="69">
        <f>I48/I$41</f>
        <v>0.70000000002289875</v>
      </c>
      <c r="I48" s="51">
        <f>E48+G48</f>
        <v>7336656871</v>
      </c>
      <c r="J48" s="1"/>
    </row>
    <row r="49" spans="1:10" ht="15.6">
      <c r="A49" s="1"/>
      <c r="B49" s="46">
        <v>3</v>
      </c>
      <c r="C49" s="53" t="str">
        <f>'TT Chuẩn'!C46</f>
        <v>Bàn giao căn hộ (dự kiến tháng 9/2028)</v>
      </c>
      <c r="D49" s="47">
        <v>0.1</v>
      </c>
      <c r="E49" s="48">
        <f>I43-I47-I48-G49-I46</f>
        <v>1238656354.7999992</v>
      </c>
      <c r="F49" s="47"/>
      <c r="G49" s="49">
        <f>ROUND(F49*I$41,0)</f>
        <v>0</v>
      </c>
      <c r="H49" s="69">
        <f>(I49-I42)/I$41</f>
        <v>0.10000000001144929</v>
      </c>
      <c r="I49" s="51">
        <f>E49+G49</f>
        <v>1238656354.7999992</v>
      </c>
      <c r="J49" s="1"/>
    </row>
    <row r="50" spans="1:10" ht="15.6">
      <c r="A50" s="1"/>
      <c r="B50" s="173" t="s">
        <v>32</v>
      </c>
      <c r="C50" s="174"/>
      <c r="D50" s="54">
        <f>SUM(D47:D49)</f>
        <v>0.30000000000000004</v>
      </c>
      <c r="E50" s="55">
        <f>SUM(E48:E49,E47,E46)</f>
        <v>3334844031.7999992</v>
      </c>
      <c r="F50" s="54">
        <f>SUM(F47:F49)</f>
        <v>0.7</v>
      </c>
      <c r="G50" s="55">
        <f>SUM(G48:G49,G47,G46)</f>
        <v>7336656871</v>
      </c>
      <c r="H50" s="56">
        <f>SUM(H47:H49)</f>
        <v>1</v>
      </c>
      <c r="I50" s="57">
        <f>SUM(I48:I49,I47,I46)</f>
        <v>10671500902.799999</v>
      </c>
      <c r="J50" s="1"/>
    </row>
    <row r="51" spans="1:10">
      <c r="A51" s="71"/>
      <c r="B51" s="72"/>
      <c r="C51" s="71"/>
      <c r="D51" s="71"/>
      <c r="E51" s="71"/>
      <c r="F51" s="71"/>
      <c r="G51" s="71"/>
      <c r="H51" s="71"/>
      <c r="I51" s="71"/>
      <c r="J51" s="71"/>
    </row>
    <row r="52" spans="1:10" ht="15.6">
      <c r="A52" s="71"/>
      <c r="B52" s="72"/>
      <c r="C52" s="73"/>
      <c r="D52" s="71"/>
      <c r="E52" s="74"/>
      <c r="F52" s="71"/>
      <c r="G52" s="71"/>
      <c r="H52" s="71"/>
      <c r="I52" s="101">
        <f>I50-I43</f>
        <v>0</v>
      </c>
      <c r="J52" s="71"/>
    </row>
    <row r="53" spans="1:10" ht="15.6">
      <c r="A53" s="71"/>
      <c r="B53" s="72"/>
      <c r="C53" s="73"/>
      <c r="D53" s="71"/>
      <c r="E53" s="74"/>
      <c r="F53" s="71"/>
      <c r="G53" s="71"/>
      <c r="H53" s="71"/>
      <c r="I53" s="71"/>
      <c r="J53" s="71"/>
    </row>
    <row r="54" spans="1:10" ht="15.6">
      <c r="A54" s="71"/>
      <c r="B54" s="72"/>
      <c r="C54" s="73"/>
      <c r="D54" s="75"/>
      <c r="E54" s="75"/>
      <c r="F54" s="71"/>
      <c r="G54" s="71"/>
      <c r="H54" s="71"/>
      <c r="I54" s="71"/>
      <c r="J54" s="71"/>
    </row>
    <row r="55" spans="1:10" ht="15.6">
      <c r="A55" s="71"/>
      <c r="B55" s="72"/>
      <c r="C55" s="73"/>
      <c r="D55" s="75"/>
      <c r="E55" s="74"/>
      <c r="F55" s="71"/>
      <c r="G55" s="71"/>
      <c r="H55" s="71"/>
      <c r="I55" s="71"/>
      <c r="J55" s="71"/>
    </row>
    <row r="56" spans="1:10">
      <c r="A56" s="71"/>
      <c r="B56" s="72"/>
      <c r="C56" s="71"/>
      <c r="D56" s="71"/>
      <c r="E56" s="71"/>
      <c r="F56" s="71"/>
      <c r="G56" s="71"/>
      <c r="H56" s="71"/>
      <c r="I56" s="71"/>
      <c r="J56" s="71"/>
    </row>
    <row r="57" spans="1:10">
      <c r="A57" s="71"/>
      <c r="B57" s="72"/>
      <c r="C57" s="71"/>
      <c r="D57" s="71"/>
      <c r="E57" s="71"/>
      <c r="F57" s="71"/>
      <c r="G57" s="71"/>
      <c r="H57" s="71"/>
      <c r="I57" s="71"/>
      <c r="J57" s="71"/>
    </row>
    <row r="58" spans="1:10">
      <c r="A58" s="71"/>
      <c r="B58" s="72"/>
      <c r="C58" s="71"/>
      <c r="D58" s="71"/>
      <c r="E58" s="71"/>
      <c r="F58" s="71"/>
      <c r="G58" s="71"/>
      <c r="H58" s="71"/>
      <c r="I58" s="71"/>
      <c r="J58" s="71"/>
    </row>
    <row r="59" spans="1:10">
      <c r="A59" s="71"/>
      <c r="B59" s="72"/>
      <c r="C59" s="71"/>
      <c r="D59" s="71"/>
      <c r="E59" s="71"/>
      <c r="F59" s="71"/>
      <c r="G59" s="71"/>
      <c r="H59" s="71"/>
      <c r="I59" s="71"/>
      <c r="J59" s="71"/>
    </row>
    <row r="60" spans="1:10">
      <c r="A60" s="71"/>
      <c r="B60" s="72"/>
      <c r="C60" s="71"/>
      <c r="D60" s="71"/>
      <c r="E60" s="71"/>
      <c r="F60" s="71"/>
      <c r="G60" s="71"/>
      <c r="H60" s="71"/>
      <c r="I60" s="71"/>
      <c r="J60" s="71"/>
    </row>
    <row r="61" spans="1:10">
      <c r="A61" s="71"/>
      <c r="B61" s="72"/>
      <c r="C61" s="71"/>
      <c r="D61" s="71"/>
      <c r="E61" s="71"/>
      <c r="F61" s="71"/>
      <c r="G61" s="71"/>
      <c r="H61" s="71"/>
      <c r="I61" s="71"/>
      <c r="J61" s="71"/>
    </row>
    <row r="62" spans="1:10">
      <c r="A62" s="71"/>
      <c r="B62" s="72"/>
      <c r="C62" s="71"/>
      <c r="D62" s="71"/>
      <c r="E62" s="71"/>
      <c r="F62" s="71"/>
      <c r="G62" s="71"/>
      <c r="H62" s="71"/>
      <c r="I62" s="71"/>
      <c r="J62" s="71"/>
    </row>
    <row r="63" spans="1:10">
      <c r="A63" s="71"/>
      <c r="B63" s="72"/>
      <c r="C63" s="71"/>
      <c r="D63" s="71"/>
      <c r="E63" s="71"/>
      <c r="F63" s="71"/>
      <c r="G63" s="71"/>
      <c r="H63" s="71"/>
      <c r="I63" s="71"/>
      <c r="J63" s="71"/>
    </row>
    <row r="64" spans="1:10">
      <c r="A64" s="71"/>
      <c r="B64" s="72"/>
      <c r="C64" s="71"/>
      <c r="D64" s="71"/>
      <c r="E64" s="71"/>
      <c r="F64" s="71"/>
      <c r="G64" s="71"/>
      <c r="H64" s="71"/>
      <c r="I64" s="71"/>
      <c r="J64" s="71"/>
    </row>
    <row r="65" spans="1:10">
      <c r="A65" s="71"/>
      <c r="B65" s="72"/>
      <c r="C65" s="71"/>
      <c r="D65" s="71"/>
      <c r="E65" s="71"/>
      <c r="F65" s="71"/>
      <c r="G65" s="71"/>
      <c r="H65" s="71"/>
      <c r="I65" s="71"/>
      <c r="J65" s="71"/>
    </row>
    <row r="66" spans="1:10">
      <c r="A66" s="71"/>
      <c r="B66" s="72"/>
      <c r="C66" s="71"/>
      <c r="D66" s="71"/>
      <c r="E66" s="71"/>
      <c r="F66" s="71"/>
      <c r="G66" s="71"/>
      <c r="H66" s="71"/>
      <c r="I66" s="71"/>
      <c r="J66" s="71"/>
    </row>
    <row r="67" spans="1:10">
      <c r="A67" s="71"/>
      <c r="B67" s="72"/>
      <c r="C67" s="71"/>
      <c r="D67" s="71"/>
      <c r="E67" s="71"/>
      <c r="F67" s="71"/>
      <c r="G67" s="71"/>
      <c r="H67" s="71"/>
      <c r="I67" s="71"/>
      <c r="J67" s="71"/>
    </row>
    <row r="68" spans="1:10">
      <c r="A68" s="71"/>
      <c r="B68" s="72"/>
      <c r="C68" s="71"/>
      <c r="D68" s="71"/>
      <c r="E68" s="71"/>
      <c r="F68" s="71"/>
      <c r="G68" s="71"/>
      <c r="H68" s="71"/>
      <c r="I68" s="71"/>
      <c r="J68" s="71"/>
    </row>
    <row r="69" spans="1:10">
      <c r="A69" s="71"/>
      <c r="B69" s="72"/>
      <c r="C69" s="71"/>
      <c r="D69" s="71"/>
      <c r="E69" s="71"/>
      <c r="F69" s="71"/>
      <c r="G69" s="71"/>
      <c r="H69" s="71"/>
      <c r="I69" s="71"/>
      <c r="J69" s="71"/>
    </row>
    <row r="70" spans="1:10">
      <c r="A70" s="71"/>
      <c r="B70" s="72"/>
      <c r="C70" s="71"/>
      <c r="D70" s="71"/>
      <c r="E70" s="71"/>
      <c r="F70" s="71"/>
      <c r="G70" s="71"/>
      <c r="H70" s="71"/>
      <c r="I70" s="71"/>
      <c r="J70" s="71"/>
    </row>
    <row r="71" spans="1:10">
      <c r="A71" s="71"/>
      <c r="B71" s="72"/>
      <c r="C71" s="71"/>
      <c r="D71" s="71"/>
      <c r="E71" s="71"/>
      <c r="F71" s="71"/>
      <c r="G71" s="71"/>
      <c r="H71" s="71"/>
      <c r="I71" s="71"/>
      <c r="J71" s="71"/>
    </row>
    <row r="72" spans="1:10">
      <c r="A72" s="71"/>
      <c r="B72" s="72"/>
      <c r="C72" s="71"/>
      <c r="D72" s="71"/>
      <c r="E72" s="71"/>
      <c r="F72" s="71"/>
      <c r="G72" s="71"/>
      <c r="H72" s="71"/>
      <c r="I72" s="71"/>
      <c r="J72" s="71"/>
    </row>
    <row r="73" spans="1:10">
      <c r="A73" s="71"/>
      <c r="B73" s="72"/>
      <c r="C73" s="71"/>
      <c r="D73" s="71"/>
      <c r="E73" s="71"/>
      <c r="F73" s="71"/>
      <c r="G73" s="71"/>
      <c r="H73" s="71"/>
      <c r="I73" s="71"/>
      <c r="J73" s="71"/>
    </row>
    <row r="74" spans="1:10">
      <c r="A74" s="71"/>
      <c r="B74" s="72"/>
      <c r="C74" s="71"/>
      <c r="D74" s="71"/>
      <c r="E74" s="71"/>
      <c r="F74" s="71"/>
      <c r="G74" s="71"/>
      <c r="H74" s="71"/>
      <c r="I74" s="71"/>
      <c r="J74" s="71"/>
    </row>
    <row r="75" spans="1:10">
      <c r="A75" s="71"/>
      <c r="B75" s="72"/>
      <c r="C75" s="71"/>
      <c r="D75" s="71"/>
      <c r="E75" s="71"/>
      <c r="F75" s="71"/>
      <c r="G75" s="71"/>
      <c r="H75" s="71"/>
      <c r="I75" s="71"/>
      <c r="J75" s="71"/>
    </row>
    <row r="76" spans="1:10">
      <c r="A76" s="71"/>
      <c r="B76" s="72"/>
      <c r="C76" s="71"/>
      <c r="D76" s="71"/>
      <c r="E76" s="71"/>
      <c r="F76" s="71"/>
      <c r="G76" s="71"/>
      <c r="H76" s="71"/>
      <c r="I76" s="71"/>
      <c r="J76" s="71"/>
    </row>
    <row r="77" spans="1:10">
      <c r="A77" s="71"/>
      <c r="B77" s="72"/>
      <c r="C77" s="71"/>
      <c r="D77" s="71"/>
      <c r="E77" s="71"/>
      <c r="F77" s="71"/>
      <c r="G77" s="71"/>
      <c r="H77" s="71"/>
      <c r="I77" s="71"/>
      <c r="J77" s="71"/>
    </row>
    <row r="78" spans="1:10">
      <c r="A78" s="71"/>
      <c r="B78" s="72"/>
      <c r="C78" s="71"/>
      <c r="D78" s="71"/>
      <c r="E78" s="71"/>
      <c r="F78" s="71"/>
      <c r="G78" s="71"/>
      <c r="H78" s="71"/>
      <c r="I78" s="71"/>
      <c r="J78" s="71"/>
    </row>
    <row r="79" spans="1:10">
      <c r="A79" s="71"/>
      <c r="B79" s="72"/>
      <c r="C79" s="71"/>
      <c r="D79" s="71"/>
      <c r="E79" s="71"/>
      <c r="F79" s="71"/>
      <c r="G79" s="71"/>
      <c r="H79" s="71"/>
      <c r="I79" s="71"/>
      <c r="J79" s="71"/>
    </row>
    <row r="80" spans="1:10">
      <c r="A80" s="71"/>
      <c r="B80" s="72"/>
      <c r="C80" s="71"/>
      <c r="D80" s="71"/>
      <c r="E80" s="71"/>
      <c r="F80" s="71"/>
      <c r="G80" s="71"/>
      <c r="H80" s="71"/>
      <c r="I80" s="71"/>
      <c r="J80" s="71"/>
    </row>
    <row r="81" spans="1:10">
      <c r="A81" s="71"/>
      <c r="B81" s="72"/>
      <c r="C81" s="71"/>
      <c r="D81" s="71"/>
      <c r="E81" s="71"/>
      <c r="F81" s="71"/>
      <c r="G81" s="71"/>
      <c r="H81" s="71"/>
      <c r="I81" s="71"/>
      <c r="J81" s="71"/>
    </row>
    <row r="82" spans="1:10">
      <c r="A82" s="71"/>
      <c r="B82" s="72"/>
      <c r="C82" s="71"/>
      <c r="D82" s="71"/>
      <c r="E82" s="71"/>
      <c r="F82" s="71"/>
      <c r="G82" s="71"/>
      <c r="H82" s="71"/>
      <c r="I82" s="71"/>
      <c r="J82" s="71"/>
    </row>
    <row r="83" spans="1:10">
      <c r="A83" s="71"/>
      <c r="B83" s="72"/>
      <c r="C83" s="71"/>
      <c r="D83" s="71"/>
      <c r="E83" s="71"/>
      <c r="F83" s="71"/>
      <c r="G83" s="71"/>
      <c r="H83" s="71"/>
      <c r="I83" s="71"/>
      <c r="J83" s="71"/>
    </row>
    <row r="84" spans="1:10">
      <c r="A84" s="71"/>
      <c r="B84" s="72"/>
      <c r="C84" s="71"/>
      <c r="D84" s="71"/>
      <c r="E84" s="71"/>
      <c r="F84" s="71"/>
      <c r="G84" s="71"/>
      <c r="H84" s="71"/>
      <c r="I84" s="71"/>
      <c r="J84" s="71"/>
    </row>
    <row r="85" spans="1:10">
      <c r="A85" s="71"/>
      <c r="B85" s="72"/>
      <c r="C85" s="71"/>
      <c r="D85" s="71"/>
      <c r="E85" s="71"/>
      <c r="F85" s="71"/>
      <c r="G85" s="71"/>
      <c r="H85" s="71"/>
      <c r="I85" s="71"/>
      <c r="J85" s="71"/>
    </row>
    <row r="86" spans="1:10">
      <c r="A86" s="71"/>
      <c r="B86" s="72"/>
      <c r="C86" s="71"/>
      <c r="D86" s="71"/>
      <c r="E86" s="71"/>
      <c r="F86" s="71"/>
      <c r="G86" s="71"/>
      <c r="H86" s="71"/>
      <c r="I86" s="71"/>
      <c r="J86" s="71"/>
    </row>
    <row r="87" spans="1:10">
      <c r="A87" s="71"/>
      <c r="B87" s="72"/>
      <c r="C87" s="71"/>
      <c r="D87" s="71"/>
      <c r="E87" s="71"/>
      <c r="F87" s="71"/>
      <c r="G87" s="71"/>
      <c r="H87" s="71"/>
      <c r="I87" s="71"/>
      <c r="J87" s="71"/>
    </row>
    <row r="88" spans="1:10">
      <c r="A88" s="71"/>
      <c r="B88" s="72"/>
      <c r="C88" s="71"/>
      <c r="D88" s="71"/>
      <c r="E88" s="71"/>
      <c r="F88" s="71"/>
      <c r="G88" s="71"/>
      <c r="H88" s="71"/>
      <c r="I88" s="71"/>
      <c r="J88" s="71"/>
    </row>
    <row r="89" spans="1:10">
      <c r="A89" s="71"/>
      <c r="B89" s="72"/>
      <c r="C89" s="71"/>
      <c r="D89" s="71"/>
      <c r="E89" s="71"/>
      <c r="F89" s="71"/>
      <c r="G89" s="71"/>
      <c r="H89" s="71"/>
      <c r="I89" s="71"/>
      <c r="J89" s="71"/>
    </row>
    <row r="90" spans="1:10">
      <c r="A90" s="71"/>
      <c r="B90" s="72"/>
      <c r="C90" s="71"/>
      <c r="D90" s="71"/>
      <c r="E90" s="71"/>
      <c r="F90" s="71"/>
      <c r="G90" s="71"/>
      <c r="H90" s="71"/>
      <c r="I90" s="71"/>
      <c r="J90" s="71"/>
    </row>
    <row r="91" spans="1:10">
      <c r="A91" s="71"/>
      <c r="B91" s="72"/>
      <c r="C91" s="71"/>
      <c r="D91" s="71"/>
      <c r="E91" s="71"/>
      <c r="F91" s="71"/>
      <c r="G91" s="71"/>
      <c r="H91" s="71"/>
      <c r="I91" s="71"/>
      <c r="J91" s="71"/>
    </row>
    <row r="92" spans="1:10">
      <c r="A92" s="71"/>
      <c r="B92" s="72"/>
      <c r="C92" s="71"/>
      <c r="D92" s="71"/>
      <c r="E92" s="71"/>
      <c r="F92" s="71"/>
      <c r="G92" s="71"/>
      <c r="H92" s="71"/>
      <c r="I92" s="71"/>
      <c r="J92" s="71"/>
    </row>
    <row r="93" spans="1:10">
      <c r="A93" s="71"/>
      <c r="B93" s="72"/>
      <c r="C93" s="71"/>
      <c r="D93" s="71"/>
      <c r="E93" s="71"/>
      <c r="F93" s="71"/>
      <c r="G93" s="71"/>
      <c r="H93" s="71"/>
      <c r="I93" s="71"/>
      <c r="J93" s="71"/>
    </row>
    <row r="94" spans="1:10">
      <c r="A94" s="71"/>
      <c r="B94" s="72"/>
      <c r="C94" s="71"/>
      <c r="D94" s="71"/>
      <c r="E94" s="71"/>
      <c r="F94" s="71"/>
      <c r="G94" s="71"/>
      <c r="H94" s="71"/>
      <c r="I94" s="71"/>
      <c r="J94" s="71"/>
    </row>
    <row r="95" spans="1:10">
      <c r="A95" s="71"/>
      <c r="B95" s="72"/>
      <c r="C95" s="71"/>
      <c r="D95" s="71"/>
      <c r="E95" s="71"/>
      <c r="F95" s="71"/>
      <c r="G95" s="71"/>
      <c r="H95" s="71"/>
      <c r="I95" s="71"/>
      <c r="J95" s="71"/>
    </row>
    <row r="96" spans="1:10">
      <c r="A96" s="71"/>
      <c r="B96" s="72"/>
      <c r="C96" s="71"/>
      <c r="D96" s="71"/>
      <c r="E96" s="71"/>
      <c r="F96" s="71"/>
      <c r="G96" s="71"/>
      <c r="H96" s="71"/>
      <c r="I96" s="71"/>
      <c r="J96" s="71"/>
    </row>
    <row r="97" spans="1:10">
      <c r="A97" s="71"/>
      <c r="B97" s="72"/>
      <c r="C97" s="71"/>
      <c r="D97" s="71"/>
      <c r="E97" s="71"/>
      <c r="F97" s="71"/>
      <c r="G97" s="71"/>
      <c r="H97" s="71"/>
      <c r="I97" s="71"/>
      <c r="J97" s="71"/>
    </row>
    <row r="98" spans="1:10">
      <c r="A98" s="71"/>
      <c r="B98" s="72"/>
      <c r="C98" s="71"/>
      <c r="D98" s="71"/>
      <c r="E98" s="71"/>
      <c r="F98" s="71"/>
      <c r="G98" s="71"/>
      <c r="H98" s="71"/>
      <c r="I98" s="71"/>
      <c r="J98" s="71"/>
    </row>
    <row r="99" spans="1:10">
      <c r="A99" s="71"/>
      <c r="B99" s="72"/>
      <c r="C99" s="71"/>
      <c r="D99" s="71"/>
      <c r="E99" s="71"/>
      <c r="F99" s="71"/>
      <c r="G99" s="71"/>
      <c r="H99" s="71"/>
      <c r="I99" s="71"/>
      <c r="J99" s="71"/>
    </row>
    <row r="100" spans="1:10">
      <c r="A100" s="71"/>
      <c r="B100" s="72"/>
      <c r="C100" s="71"/>
      <c r="D100" s="71"/>
      <c r="E100" s="71"/>
      <c r="F100" s="71"/>
      <c r="G100" s="71"/>
      <c r="H100" s="71"/>
      <c r="I100" s="71"/>
      <c r="J100" s="71"/>
    </row>
    <row r="101" spans="1:10">
      <c r="A101" s="71"/>
      <c r="B101" s="72"/>
      <c r="C101" s="71"/>
      <c r="D101" s="71"/>
      <c r="E101" s="71"/>
      <c r="F101" s="71"/>
      <c r="G101" s="71"/>
      <c r="H101" s="71"/>
      <c r="I101" s="71"/>
      <c r="J101" s="71"/>
    </row>
    <row r="102" spans="1:10">
      <c r="A102" s="71"/>
      <c r="B102" s="72"/>
      <c r="C102" s="71"/>
      <c r="D102" s="71"/>
      <c r="E102" s="71"/>
      <c r="F102" s="71"/>
      <c r="G102" s="71"/>
      <c r="H102" s="71"/>
      <c r="I102" s="71"/>
      <c r="J102" s="71"/>
    </row>
    <row r="103" spans="1:10">
      <c r="A103" s="71"/>
      <c r="B103" s="72"/>
      <c r="C103" s="71"/>
      <c r="D103" s="71"/>
      <c r="E103" s="71"/>
      <c r="F103" s="71"/>
      <c r="G103" s="71"/>
      <c r="H103" s="71"/>
      <c r="I103" s="71"/>
      <c r="J103" s="71"/>
    </row>
    <row r="104" spans="1:10">
      <c r="A104" s="71"/>
      <c r="B104" s="72"/>
      <c r="C104" s="71"/>
      <c r="D104" s="71"/>
      <c r="E104" s="71"/>
      <c r="F104" s="71"/>
      <c r="G104" s="71"/>
      <c r="H104" s="71"/>
      <c r="I104" s="71"/>
      <c r="J104" s="71"/>
    </row>
    <row r="105" spans="1:10">
      <c r="A105" s="71"/>
      <c r="B105" s="72"/>
      <c r="C105" s="71"/>
      <c r="D105" s="71"/>
      <c r="E105" s="71"/>
      <c r="F105" s="71"/>
      <c r="G105" s="71"/>
      <c r="H105" s="71"/>
      <c r="I105" s="71"/>
      <c r="J105" s="71"/>
    </row>
    <row r="106" spans="1:10">
      <c r="A106" s="71"/>
      <c r="B106" s="72"/>
      <c r="C106" s="71"/>
      <c r="D106" s="71"/>
      <c r="E106" s="71"/>
      <c r="F106" s="71"/>
      <c r="G106" s="71"/>
      <c r="H106" s="71"/>
      <c r="I106" s="71"/>
      <c r="J106" s="71"/>
    </row>
    <row r="107" spans="1:10">
      <c r="A107" s="71"/>
      <c r="B107" s="72"/>
      <c r="C107" s="71"/>
      <c r="D107" s="71"/>
      <c r="E107" s="71"/>
      <c r="F107" s="71"/>
      <c r="G107" s="71"/>
      <c r="H107" s="71"/>
      <c r="I107" s="71"/>
      <c r="J107" s="71"/>
    </row>
    <row r="108" spans="1:10">
      <c r="A108" s="71"/>
      <c r="B108" s="72"/>
      <c r="C108" s="71"/>
      <c r="D108" s="71"/>
      <c r="E108" s="71"/>
      <c r="F108" s="71"/>
      <c r="G108" s="71"/>
      <c r="H108" s="71"/>
      <c r="I108" s="71"/>
      <c r="J108" s="71"/>
    </row>
    <row r="109" spans="1:10">
      <c r="A109" s="71"/>
      <c r="B109" s="72"/>
      <c r="C109" s="71"/>
      <c r="D109" s="71"/>
      <c r="E109" s="71"/>
      <c r="F109" s="71"/>
      <c r="G109" s="71"/>
      <c r="H109" s="71"/>
      <c r="I109" s="71"/>
      <c r="J109" s="71"/>
    </row>
    <row r="110" spans="1:10">
      <c r="A110" s="71"/>
      <c r="B110" s="72"/>
      <c r="C110" s="71"/>
      <c r="D110" s="71"/>
      <c r="E110" s="71"/>
      <c r="F110" s="71"/>
      <c r="G110" s="71"/>
      <c r="H110" s="71"/>
      <c r="I110" s="71"/>
      <c r="J110" s="71"/>
    </row>
    <row r="111" spans="1:10">
      <c r="A111" s="71"/>
      <c r="B111" s="72"/>
      <c r="C111" s="71"/>
      <c r="D111" s="71"/>
      <c r="E111" s="71"/>
      <c r="F111" s="71"/>
      <c r="G111" s="71"/>
      <c r="H111" s="71"/>
      <c r="I111" s="71"/>
      <c r="J111" s="71"/>
    </row>
    <row r="112" spans="1:10">
      <c r="A112" s="71"/>
      <c r="B112" s="72"/>
      <c r="C112" s="71"/>
      <c r="D112" s="71"/>
      <c r="E112" s="71"/>
      <c r="F112" s="71"/>
      <c r="G112" s="71"/>
      <c r="H112" s="71"/>
      <c r="I112" s="71"/>
      <c r="J112" s="71"/>
    </row>
    <row r="113" spans="1:10">
      <c r="A113" s="71"/>
      <c r="B113" s="72"/>
      <c r="C113" s="71"/>
      <c r="D113" s="71"/>
      <c r="E113" s="71"/>
      <c r="F113" s="71"/>
      <c r="G113" s="71"/>
      <c r="H113" s="71"/>
      <c r="I113" s="71"/>
      <c r="J113" s="71"/>
    </row>
    <row r="114" spans="1:10">
      <c r="A114" s="71"/>
      <c r="B114" s="72"/>
      <c r="C114" s="71"/>
      <c r="D114" s="71"/>
      <c r="E114" s="71"/>
      <c r="F114" s="71"/>
      <c r="G114" s="71"/>
      <c r="H114" s="71"/>
      <c r="I114" s="71"/>
      <c r="J114" s="71"/>
    </row>
    <row r="115" spans="1:10">
      <c r="A115" s="71"/>
      <c r="B115" s="72"/>
      <c r="C115" s="71"/>
      <c r="D115" s="71"/>
      <c r="E115" s="71"/>
      <c r="F115" s="71"/>
      <c r="G115" s="71"/>
      <c r="H115" s="71"/>
      <c r="I115" s="71"/>
      <c r="J115" s="71"/>
    </row>
    <row r="116" spans="1:10">
      <c r="A116" s="71"/>
      <c r="B116" s="72"/>
      <c r="C116" s="71"/>
      <c r="D116" s="71"/>
      <c r="E116" s="71"/>
      <c r="F116" s="71"/>
      <c r="G116" s="71"/>
      <c r="H116" s="71"/>
      <c r="I116" s="71"/>
      <c r="J116" s="71"/>
    </row>
    <row r="117" spans="1:10">
      <c r="A117" s="71"/>
      <c r="B117" s="72"/>
      <c r="C117" s="71"/>
      <c r="D117" s="71"/>
      <c r="E117" s="71"/>
      <c r="F117" s="71"/>
      <c r="G117" s="71"/>
      <c r="H117" s="71"/>
      <c r="I117" s="71"/>
      <c r="J117" s="71"/>
    </row>
    <row r="118" spans="1:10">
      <c r="A118" s="71"/>
      <c r="B118" s="72"/>
      <c r="C118" s="71"/>
      <c r="D118" s="71"/>
      <c r="E118" s="71"/>
      <c r="F118" s="71"/>
      <c r="G118" s="71"/>
      <c r="H118" s="71"/>
      <c r="I118" s="71"/>
      <c r="J118" s="71"/>
    </row>
    <row r="119" spans="1:10">
      <c r="A119" s="71"/>
      <c r="B119" s="72"/>
      <c r="C119" s="71"/>
      <c r="D119" s="71"/>
      <c r="E119" s="71"/>
      <c r="F119" s="71"/>
      <c r="G119" s="71"/>
      <c r="H119" s="71"/>
      <c r="I119" s="71"/>
      <c r="J119" s="71"/>
    </row>
    <row r="120" spans="1:10">
      <c r="A120" s="71"/>
      <c r="B120" s="72"/>
      <c r="C120" s="71"/>
      <c r="D120" s="71"/>
      <c r="E120" s="71"/>
      <c r="F120" s="71"/>
      <c r="G120" s="71"/>
      <c r="H120" s="71"/>
      <c r="I120" s="71"/>
      <c r="J120" s="71"/>
    </row>
    <row r="121" spans="1:10">
      <c r="A121" s="71"/>
      <c r="B121" s="72"/>
      <c r="C121" s="71"/>
      <c r="D121" s="71"/>
      <c r="E121" s="71"/>
      <c r="F121" s="71"/>
      <c r="G121" s="71"/>
      <c r="H121" s="71"/>
      <c r="I121" s="71"/>
      <c r="J121" s="71"/>
    </row>
    <row r="122" spans="1:10">
      <c r="A122" s="71"/>
      <c r="B122" s="72"/>
      <c r="C122" s="71"/>
      <c r="D122" s="71"/>
      <c r="E122" s="71"/>
      <c r="F122" s="71"/>
      <c r="G122" s="71"/>
      <c r="H122" s="71"/>
      <c r="I122" s="71"/>
      <c r="J122" s="71"/>
    </row>
    <row r="123" spans="1:10">
      <c r="A123" s="71"/>
      <c r="B123" s="72"/>
      <c r="C123" s="71"/>
      <c r="D123" s="71"/>
      <c r="E123" s="71"/>
      <c r="F123" s="71"/>
      <c r="G123" s="71"/>
      <c r="H123" s="71"/>
      <c r="I123" s="71"/>
      <c r="J123" s="71"/>
    </row>
    <row r="124" spans="1:10">
      <c r="A124" s="71"/>
      <c r="B124" s="72"/>
      <c r="C124" s="71"/>
      <c r="D124" s="71"/>
      <c r="E124" s="71"/>
      <c r="F124" s="71"/>
      <c r="G124" s="71"/>
      <c r="H124" s="71"/>
      <c r="I124" s="71"/>
      <c r="J124" s="71"/>
    </row>
    <row r="125" spans="1:10">
      <c r="A125" s="71"/>
      <c r="B125" s="72"/>
      <c r="C125" s="71"/>
      <c r="D125" s="71"/>
      <c r="E125" s="71"/>
      <c r="F125" s="71"/>
      <c r="G125" s="71"/>
      <c r="H125" s="71"/>
      <c r="I125" s="71"/>
      <c r="J125" s="71"/>
    </row>
    <row r="126" spans="1:10">
      <c r="A126" s="71"/>
      <c r="B126" s="72"/>
      <c r="C126" s="71"/>
      <c r="D126" s="71"/>
      <c r="E126" s="71"/>
      <c r="F126" s="71"/>
      <c r="G126" s="71"/>
      <c r="H126" s="71"/>
      <c r="I126" s="71"/>
      <c r="J126" s="71"/>
    </row>
    <row r="127" spans="1:10">
      <c r="A127" s="71"/>
      <c r="B127" s="72"/>
      <c r="C127" s="71"/>
      <c r="D127" s="71"/>
      <c r="E127" s="71"/>
      <c r="F127" s="71"/>
      <c r="G127" s="71"/>
      <c r="H127" s="71"/>
      <c r="I127" s="71"/>
      <c r="J127" s="71"/>
    </row>
    <row r="128" spans="1:10">
      <c r="A128" s="71"/>
      <c r="B128" s="72"/>
      <c r="C128" s="71"/>
      <c r="D128" s="71"/>
      <c r="E128" s="71"/>
      <c r="F128" s="71"/>
      <c r="G128" s="71"/>
      <c r="H128" s="71"/>
      <c r="I128" s="71"/>
      <c r="J128" s="71"/>
    </row>
    <row r="129" spans="1:10">
      <c r="A129" s="71"/>
      <c r="B129" s="72"/>
      <c r="C129" s="71"/>
      <c r="D129" s="71"/>
      <c r="E129" s="71"/>
      <c r="F129" s="71"/>
      <c r="G129" s="71"/>
      <c r="H129" s="71"/>
      <c r="I129" s="71"/>
      <c r="J129" s="71"/>
    </row>
    <row r="130" spans="1:10">
      <c r="A130" s="71"/>
      <c r="B130" s="72"/>
      <c r="C130" s="71"/>
      <c r="D130" s="71"/>
      <c r="E130" s="71"/>
      <c r="F130" s="71"/>
      <c r="G130" s="71"/>
      <c r="H130" s="71"/>
      <c r="I130" s="71"/>
      <c r="J130" s="71"/>
    </row>
    <row r="131" spans="1:10">
      <c r="A131" s="71"/>
      <c r="B131" s="72"/>
      <c r="C131" s="71"/>
      <c r="D131" s="71"/>
      <c r="E131" s="71"/>
      <c r="F131" s="71"/>
      <c r="G131" s="71"/>
      <c r="H131" s="71"/>
      <c r="I131" s="71"/>
      <c r="J131" s="71"/>
    </row>
    <row r="132" spans="1:10">
      <c r="A132" s="71"/>
      <c r="B132" s="72"/>
      <c r="C132" s="71"/>
      <c r="D132" s="71"/>
      <c r="E132" s="71"/>
      <c r="F132" s="71"/>
      <c r="G132" s="71"/>
      <c r="H132" s="71"/>
      <c r="I132" s="71"/>
      <c r="J132" s="71"/>
    </row>
    <row r="133" spans="1:10">
      <c r="A133" s="71"/>
      <c r="B133" s="72"/>
      <c r="C133" s="71"/>
      <c r="D133" s="71"/>
      <c r="E133" s="71"/>
      <c r="F133" s="71"/>
      <c r="G133" s="71"/>
      <c r="H133" s="71"/>
      <c r="I133" s="71"/>
      <c r="J133" s="71"/>
    </row>
    <row r="134" spans="1:10">
      <c r="A134" s="71"/>
      <c r="B134" s="72"/>
      <c r="C134" s="71"/>
      <c r="D134" s="71"/>
      <c r="E134" s="71"/>
      <c r="F134" s="71"/>
      <c r="G134" s="71"/>
      <c r="H134" s="71"/>
      <c r="I134" s="71"/>
      <c r="J134" s="71"/>
    </row>
    <row r="135" spans="1:10">
      <c r="A135" s="71"/>
      <c r="B135" s="72"/>
      <c r="C135" s="71"/>
      <c r="D135" s="71"/>
      <c r="E135" s="71"/>
      <c r="F135" s="71"/>
      <c r="G135" s="71"/>
      <c r="H135" s="71"/>
      <c r="I135" s="71"/>
      <c r="J135" s="71"/>
    </row>
    <row r="136" spans="1:10">
      <c r="A136" s="71"/>
      <c r="B136" s="72"/>
      <c r="C136" s="71"/>
      <c r="D136" s="71"/>
      <c r="E136" s="71"/>
      <c r="F136" s="71"/>
      <c r="G136" s="71"/>
      <c r="H136" s="71"/>
      <c r="I136" s="71"/>
      <c r="J136" s="71"/>
    </row>
    <row r="137" spans="1:10">
      <c r="A137" s="71"/>
      <c r="B137" s="72"/>
      <c r="C137" s="71"/>
      <c r="D137" s="71"/>
      <c r="E137" s="71"/>
      <c r="F137" s="71"/>
      <c r="G137" s="71"/>
      <c r="H137" s="71"/>
      <c r="I137" s="71"/>
      <c r="J137" s="71"/>
    </row>
    <row r="138" spans="1:10">
      <c r="A138" s="71"/>
      <c r="B138" s="72"/>
      <c r="C138" s="71"/>
      <c r="D138" s="71"/>
      <c r="E138" s="71"/>
      <c r="F138" s="71"/>
      <c r="G138" s="71"/>
      <c r="H138" s="71"/>
      <c r="I138" s="71"/>
      <c r="J138" s="71"/>
    </row>
    <row r="139" spans="1:10">
      <c r="A139" s="71"/>
      <c r="B139" s="72"/>
      <c r="C139" s="71"/>
      <c r="D139" s="71"/>
      <c r="E139" s="71"/>
      <c r="F139" s="71"/>
      <c r="G139" s="71"/>
      <c r="H139" s="71"/>
      <c r="I139" s="71"/>
      <c r="J139" s="71"/>
    </row>
    <row r="140" spans="1:10">
      <c r="A140" s="71"/>
      <c r="B140" s="72"/>
      <c r="C140" s="71"/>
      <c r="D140" s="71"/>
      <c r="E140" s="71"/>
      <c r="F140" s="71"/>
      <c r="G140" s="71"/>
      <c r="H140" s="71"/>
      <c r="I140" s="71"/>
      <c r="J140" s="71"/>
    </row>
    <row r="141" spans="1:10">
      <c r="A141" s="71"/>
      <c r="B141" s="72"/>
      <c r="C141" s="71"/>
      <c r="D141" s="71"/>
      <c r="E141" s="71"/>
      <c r="F141" s="71"/>
      <c r="G141" s="71"/>
      <c r="H141" s="71"/>
      <c r="I141" s="71"/>
      <c r="J141" s="71"/>
    </row>
    <row r="142" spans="1:10">
      <c r="A142" s="71"/>
      <c r="B142" s="72"/>
      <c r="C142" s="71"/>
      <c r="D142" s="71"/>
      <c r="E142" s="71"/>
      <c r="F142" s="71"/>
      <c r="G142" s="71"/>
      <c r="H142" s="71"/>
      <c r="I142" s="71"/>
      <c r="J142" s="71"/>
    </row>
    <row r="143" spans="1:10">
      <c r="A143" s="71"/>
      <c r="B143" s="72"/>
      <c r="C143" s="71"/>
      <c r="D143" s="71"/>
      <c r="E143" s="71"/>
      <c r="F143" s="71"/>
      <c r="G143" s="71"/>
      <c r="H143" s="71"/>
      <c r="I143" s="71"/>
      <c r="J143" s="71"/>
    </row>
    <row r="144" spans="1:10">
      <c r="A144" s="71"/>
      <c r="B144" s="72"/>
      <c r="C144" s="71"/>
      <c r="D144" s="71"/>
      <c r="E144" s="71"/>
      <c r="F144" s="71"/>
      <c r="G144" s="71"/>
      <c r="H144" s="71"/>
      <c r="I144" s="71"/>
      <c r="J144" s="71"/>
    </row>
    <row r="145" spans="1:10">
      <c r="A145" s="71"/>
      <c r="B145" s="72"/>
      <c r="C145" s="71"/>
      <c r="D145" s="71"/>
      <c r="E145" s="71"/>
      <c r="F145" s="71"/>
      <c r="G145" s="71"/>
      <c r="H145" s="71"/>
      <c r="I145" s="71"/>
      <c r="J145" s="71"/>
    </row>
    <row r="146" spans="1:10">
      <c r="A146" s="71"/>
      <c r="B146" s="72"/>
      <c r="C146" s="71"/>
      <c r="D146" s="71"/>
      <c r="E146" s="71"/>
      <c r="F146" s="71"/>
      <c r="G146" s="71"/>
      <c r="H146" s="71"/>
      <c r="I146" s="71"/>
      <c r="J146" s="71"/>
    </row>
    <row r="147" spans="1:10">
      <c r="A147" s="71"/>
      <c r="B147" s="72"/>
      <c r="C147" s="71"/>
      <c r="D147" s="71"/>
      <c r="E147" s="71"/>
      <c r="F147" s="71"/>
      <c r="G147" s="71"/>
      <c r="H147" s="71"/>
      <c r="I147" s="71"/>
      <c r="J147" s="71"/>
    </row>
    <row r="148" spans="1:10">
      <c r="A148" s="71"/>
      <c r="B148" s="72"/>
      <c r="C148" s="71"/>
      <c r="D148" s="71"/>
      <c r="E148" s="71"/>
      <c r="F148" s="71"/>
      <c r="G148" s="71"/>
      <c r="H148" s="71"/>
      <c r="I148" s="71"/>
      <c r="J148" s="71"/>
    </row>
    <row r="149" spans="1:10">
      <c r="A149" s="71"/>
      <c r="B149" s="72"/>
      <c r="C149" s="71"/>
      <c r="D149" s="71"/>
      <c r="E149" s="71"/>
      <c r="F149" s="71"/>
      <c r="G149" s="71"/>
      <c r="H149" s="71"/>
      <c r="I149" s="71"/>
      <c r="J149" s="71"/>
    </row>
    <row r="150" spans="1:10">
      <c r="A150" s="71"/>
      <c r="B150" s="72"/>
      <c r="C150" s="71"/>
      <c r="D150" s="71"/>
      <c r="E150" s="71"/>
      <c r="F150" s="71"/>
      <c r="G150" s="71"/>
      <c r="H150" s="71"/>
      <c r="I150" s="71"/>
      <c r="J150" s="71"/>
    </row>
    <row r="151" spans="1:10">
      <c r="A151" s="71"/>
      <c r="B151" s="72"/>
      <c r="C151" s="71"/>
      <c r="D151" s="71"/>
      <c r="E151" s="71"/>
      <c r="F151" s="71"/>
      <c r="G151" s="71"/>
      <c r="H151" s="71"/>
      <c r="I151" s="71"/>
      <c r="J151" s="71"/>
    </row>
    <row r="152" spans="1:10">
      <c r="A152" s="71"/>
      <c r="B152" s="72"/>
      <c r="C152" s="71"/>
      <c r="D152" s="71"/>
      <c r="E152" s="71"/>
      <c r="F152" s="71"/>
      <c r="G152" s="71"/>
      <c r="H152" s="71"/>
      <c r="I152" s="71"/>
      <c r="J152" s="71"/>
    </row>
    <row r="153" spans="1:10">
      <c r="A153" s="71"/>
      <c r="B153" s="72"/>
      <c r="C153" s="71"/>
      <c r="D153" s="71"/>
      <c r="E153" s="71"/>
      <c r="F153" s="71"/>
      <c r="G153" s="71"/>
      <c r="H153" s="71"/>
      <c r="I153" s="71"/>
      <c r="J153" s="71"/>
    </row>
    <row r="154" spans="1:10">
      <c r="A154" s="71"/>
      <c r="B154" s="72"/>
      <c r="C154" s="71"/>
      <c r="D154" s="71"/>
      <c r="E154" s="71"/>
      <c r="F154" s="71"/>
      <c r="G154" s="71"/>
      <c r="H154" s="71"/>
      <c r="I154" s="71"/>
      <c r="J154" s="71"/>
    </row>
    <row r="155" spans="1:10">
      <c r="A155" s="71"/>
      <c r="B155" s="72"/>
      <c r="C155" s="71"/>
      <c r="D155" s="71"/>
      <c r="E155" s="71"/>
      <c r="F155" s="71"/>
      <c r="G155" s="71"/>
      <c r="H155" s="71"/>
      <c r="I155" s="71"/>
      <c r="J155" s="71"/>
    </row>
    <row r="156" spans="1:10">
      <c r="A156" s="71"/>
      <c r="B156" s="72"/>
      <c r="C156" s="71"/>
      <c r="D156" s="71"/>
      <c r="E156" s="71"/>
      <c r="F156" s="71"/>
      <c r="G156" s="71"/>
      <c r="H156" s="71"/>
      <c r="I156" s="71"/>
      <c r="J156" s="71"/>
    </row>
    <row r="157" spans="1:10">
      <c r="A157" s="71"/>
      <c r="B157" s="72"/>
      <c r="C157" s="71"/>
      <c r="D157" s="71"/>
      <c r="E157" s="71"/>
      <c r="F157" s="71"/>
      <c r="G157" s="71"/>
      <c r="H157" s="76"/>
      <c r="I157" s="76"/>
      <c r="J157" s="76"/>
    </row>
    <row r="158" spans="1:10">
      <c r="A158" s="71"/>
      <c r="B158" s="72"/>
      <c r="C158" s="71"/>
      <c r="D158" s="71"/>
      <c r="E158" s="71"/>
      <c r="F158" s="71"/>
      <c r="G158" s="71"/>
      <c r="H158" s="76"/>
      <c r="I158" s="76"/>
      <c r="J158" s="76"/>
    </row>
    <row r="159" spans="1:10">
      <c r="A159" s="71"/>
      <c r="B159" s="72"/>
      <c r="C159" s="71"/>
      <c r="D159" s="71"/>
      <c r="E159" s="71"/>
      <c r="F159" s="71"/>
      <c r="G159" s="71"/>
      <c r="H159" s="76"/>
      <c r="I159" s="76"/>
      <c r="J159" s="76"/>
    </row>
    <row r="160" spans="1:10">
      <c r="A160" s="71"/>
      <c r="B160" s="72"/>
      <c r="C160" s="71"/>
      <c r="D160" s="71"/>
      <c r="E160" s="71"/>
      <c r="F160" s="71"/>
      <c r="G160" s="71"/>
      <c r="H160" s="76"/>
      <c r="I160" s="76"/>
      <c r="J160" s="76"/>
    </row>
    <row r="161" spans="1:10">
      <c r="A161" s="71"/>
      <c r="B161" s="72"/>
      <c r="C161" s="71"/>
      <c r="D161" s="71"/>
      <c r="E161" s="71"/>
      <c r="F161" s="71"/>
      <c r="G161" s="71"/>
      <c r="H161" s="71"/>
      <c r="I161" s="71"/>
      <c r="J161" s="71"/>
    </row>
    <row r="162" spans="1:10">
      <c r="A162" s="71"/>
      <c r="B162" s="72"/>
      <c r="C162" s="71"/>
      <c r="D162" s="71"/>
      <c r="E162" s="71"/>
      <c r="F162" s="71"/>
      <c r="G162" s="71"/>
      <c r="H162" s="71"/>
      <c r="I162" s="71"/>
      <c r="J162" s="71"/>
    </row>
    <row r="163" spans="1:10">
      <c r="A163" s="71"/>
      <c r="B163" s="72"/>
      <c r="C163" s="71"/>
      <c r="D163" s="71"/>
      <c r="E163" s="71"/>
      <c r="F163" s="71"/>
      <c r="G163" s="71"/>
      <c r="H163" s="71"/>
      <c r="I163" s="71"/>
      <c r="J163" s="71"/>
    </row>
    <row r="164" spans="1:10">
      <c r="A164" s="71"/>
      <c r="B164" s="72"/>
      <c r="C164" s="71"/>
      <c r="D164" s="71"/>
      <c r="E164" s="71"/>
      <c r="F164" s="71"/>
      <c r="G164" s="71"/>
      <c r="H164" s="71"/>
      <c r="I164" s="71"/>
      <c r="J164" s="71"/>
    </row>
    <row r="165" spans="1:10">
      <c r="A165" s="71"/>
      <c r="B165" s="72"/>
      <c r="C165" s="71"/>
      <c r="D165" s="71"/>
      <c r="E165" s="71"/>
      <c r="F165" s="71"/>
      <c r="G165" s="71"/>
      <c r="H165" s="71"/>
      <c r="I165" s="71"/>
      <c r="J165" s="71"/>
    </row>
    <row r="166" spans="1:10">
      <c r="A166" s="71"/>
      <c r="B166" s="72"/>
      <c r="C166" s="71"/>
      <c r="D166" s="71"/>
      <c r="E166" s="71"/>
      <c r="F166" s="71"/>
      <c r="G166" s="71"/>
      <c r="H166" s="71"/>
      <c r="I166" s="71"/>
      <c r="J166" s="71"/>
    </row>
    <row r="167" spans="1:10">
      <c r="A167" s="71"/>
      <c r="B167" s="72"/>
      <c r="C167" s="71"/>
      <c r="D167" s="71"/>
      <c r="E167" s="71"/>
      <c r="F167" s="71"/>
      <c r="G167" s="71"/>
      <c r="H167" s="71"/>
      <c r="I167" s="71"/>
      <c r="J167" s="71"/>
    </row>
    <row r="168" spans="1:10">
      <c r="A168" s="71"/>
      <c r="B168" s="72"/>
      <c r="C168" s="71"/>
      <c r="D168" s="71"/>
      <c r="E168" s="71"/>
      <c r="F168" s="71"/>
      <c r="G168" s="71"/>
      <c r="H168" s="71"/>
      <c r="I168" s="71"/>
      <c r="J168" s="71"/>
    </row>
    <row r="169" spans="1:10">
      <c r="A169" s="71"/>
      <c r="B169" s="72"/>
      <c r="C169" s="71"/>
      <c r="D169" s="71"/>
      <c r="E169" s="71"/>
      <c r="F169" s="71"/>
      <c r="G169" s="71"/>
      <c r="H169" s="71"/>
      <c r="I169" s="71"/>
      <c r="J169" s="71"/>
    </row>
    <row r="170" spans="1:10">
      <c r="A170" s="71"/>
      <c r="B170" s="72"/>
      <c r="C170" s="71"/>
      <c r="D170" s="71"/>
      <c r="E170" s="71"/>
      <c r="F170" s="71"/>
      <c r="G170" s="71"/>
      <c r="H170" s="71"/>
      <c r="I170" s="71"/>
      <c r="J170" s="71"/>
    </row>
    <row r="171" spans="1:10">
      <c r="A171" s="71"/>
      <c r="B171" s="72"/>
      <c r="C171" s="71"/>
      <c r="D171" s="71"/>
      <c r="E171" s="71"/>
      <c r="F171" s="71"/>
      <c r="G171" s="71"/>
      <c r="H171" s="71"/>
      <c r="I171" s="71"/>
      <c r="J171" s="71"/>
    </row>
    <row r="172" spans="1:10">
      <c r="A172" s="71"/>
      <c r="B172" s="72"/>
      <c r="C172" s="71"/>
      <c r="D172" s="71"/>
      <c r="E172" s="71"/>
      <c r="F172" s="71"/>
      <c r="G172" s="71"/>
      <c r="H172" s="71"/>
      <c r="I172" s="71"/>
      <c r="J172" s="71"/>
    </row>
    <row r="173" spans="1:10">
      <c r="A173" s="71"/>
      <c r="B173" s="72"/>
      <c r="C173" s="71"/>
      <c r="D173" s="71"/>
      <c r="E173" s="71"/>
      <c r="F173" s="71"/>
      <c r="G173" s="71"/>
      <c r="H173" s="71"/>
      <c r="I173" s="71"/>
      <c r="J173" s="71"/>
    </row>
    <row r="174" spans="1:10">
      <c r="A174" s="71"/>
      <c r="B174" s="72"/>
      <c r="C174" s="71"/>
      <c r="D174" s="71"/>
      <c r="E174" s="71"/>
      <c r="F174" s="71"/>
      <c r="G174" s="71"/>
      <c r="H174" s="71"/>
      <c r="I174" s="71"/>
      <c r="J174" s="71"/>
    </row>
    <row r="175" spans="1:10">
      <c r="A175" s="71"/>
      <c r="B175" s="72"/>
      <c r="C175" s="71"/>
      <c r="D175" s="71"/>
      <c r="E175" s="71"/>
      <c r="F175" s="71"/>
      <c r="G175" s="71"/>
      <c r="H175" s="71"/>
      <c r="I175" s="71"/>
      <c r="J175" s="71"/>
    </row>
    <row r="176" spans="1:10">
      <c r="A176" s="71"/>
      <c r="B176" s="72"/>
      <c r="C176" s="71"/>
      <c r="D176" s="71"/>
      <c r="E176" s="71"/>
      <c r="F176" s="71"/>
      <c r="G176" s="71"/>
      <c r="H176" s="71"/>
      <c r="I176" s="71"/>
      <c r="J176" s="71"/>
    </row>
    <row r="177" spans="1:10">
      <c r="A177" s="71"/>
      <c r="B177" s="72"/>
      <c r="C177" s="71"/>
      <c r="D177" s="71"/>
      <c r="E177" s="71"/>
      <c r="F177" s="71"/>
      <c r="G177" s="71"/>
      <c r="H177" s="71"/>
      <c r="I177" s="71"/>
      <c r="J177" s="71"/>
    </row>
    <row r="178" spans="1:10">
      <c r="A178" s="71"/>
      <c r="B178" s="72"/>
      <c r="C178" s="71"/>
      <c r="D178" s="71"/>
      <c r="E178" s="71"/>
      <c r="F178" s="71"/>
      <c r="G178" s="71"/>
      <c r="H178" s="71"/>
      <c r="I178" s="71"/>
      <c r="J178" s="71"/>
    </row>
    <row r="179" spans="1:10">
      <c r="A179" s="71"/>
      <c r="B179" s="72"/>
      <c r="C179" s="71"/>
      <c r="D179" s="71"/>
      <c r="E179" s="71"/>
      <c r="F179" s="71"/>
      <c r="G179" s="71"/>
      <c r="H179" s="71"/>
      <c r="I179" s="71"/>
      <c r="J179" s="71"/>
    </row>
    <row r="180" spans="1:10">
      <c r="A180" s="71"/>
      <c r="B180" s="72"/>
      <c r="C180" s="71"/>
      <c r="D180" s="71"/>
      <c r="E180" s="71"/>
      <c r="F180" s="71"/>
      <c r="G180" s="71"/>
      <c r="H180" s="71"/>
      <c r="I180" s="71"/>
      <c r="J180" s="71"/>
    </row>
    <row r="181" spans="1:10">
      <c r="A181" s="71"/>
      <c r="B181" s="72"/>
      <c r="C181" s="71"/>
      <c r="D181" s="71"/>
      <c r="E181" s="71"/>
      <c r="F181" s="71"/>
      <c r="G181" s="71"/>
      <c r="H181" s="71"/>
      <c r="I181" s="71"/>
      <c r="J181" s="71"/>
    </row>
    <row r="182" spans="1:10">
      <c r="A182" s="71"/>
      <c r="B182" s="72"/>
      <c r="C182" s="71"/>
      <c r="D182" s="71"/>
      <c r="E182" s="71"/>
      <c r="F182" s="71"/>
      <c r="G182" s="71"/>
      <c r="H182" s="71"/>
      <c r="I182" s="71"/>
      <c r="J182" s="71"/>
    </row>
    <row r="183" spans="1:10">
      <c r="A183" s="71"/>
      <c r="B183" s="72"/>
      <c r="C183" s="71"/>
      <c r="D183" s="71"/>
      <c r="E183" s="71"/>
      <c r="F183" s="71"/>
      <c r="G183" s="71"/>
      <c r="H183" s="71"/>
      <c r="I183" s="71"/>
      <c r="J183" s="71"/>
    </row>
    <row r="184" spans="1:10">
      <c r="A184" s="71"/>
      <c r="B184" s="72"/>
      <c r="C184" s="71"/>
      <c r="D184" s="71"/>
      <c r="E184" s="71"/>
      <c r="F184" s="71"/>
      <c r="G184" s="71"/>
      <c r="H184" s="71"/>
      <c r="I184" s="71"/>
      <c r="J184" s="71"/>
    </row>
    <row r="185" spans="1:10">
      <c r="A185" s="71"/>
      <c r="B185" s="72"/>
      <c r="C185" s="71"/>
      <c r="D185" s="71"/>
      <c r="E185" s="71"/>
      <c r="F185" s="71"/>
      <c r="G185" s="71"/>
      <c r="H185" s="71"/>
      <c r="I185" s="71"/>
      <c r="J185" s="71"/>
    </row>
    <row r="186" spans="1:10">
      <c r="A186" s="71"/>
      <c r="B186" s="72"/>
      <c r="C186" s="71"/>
      <c r="D186" s="71"/>
      <c r="E186" s="71"/>
      <c r="F186" s="71"/>
      <c r="G186" s="71"/>
      <c r="H186" s="71"/>
      <c r="I186" s="71"/>
      <c r="J186" s="71"/>
    </row>
    <row r="187" spans="1:10">
      <c r="A187" s="71"/>
      <c r="B187" s="72"/>
      <c r="C187" s="71"/>
      <c r="D187" s="71"/>
      <c r="E187" s="71"/>
      <c r="F187" s="71"/>
      <c r="G187" s="71"/>
      <c r="H187" s="71"/>
      <c r="I187" s="71"/>
      <c r="J187" s="71"/>
    </row>
    <row r="188" spans="1:10">
      <c r="A188" s="71"/>
      <c r="B188" s="72"/>
      <c r="C188" s="71"/>
      <c r="D188" s="71"/>
      <c r="E188" s="71"/>
      <c r="F188" s="71"/>
      <c r="G188" s="71"/>
      <c r="H188" s="71"/>
      <c r="I188" s="71"/>
      <c r="J188" s="71"/>
    </row>
    <row r="189" spans="1:10">
      <c r="A189" s="71"/>
      <c r="B189" s="72"/>
      <c r="C189" s="71"/>
      <c r="D189" s="71"/>
      <c r="E189" s="71"/>
      <c r="F189" s="71"/>
      <c r="G189" s="71"/>
      <c r="H189" s="71"/>
      <c r="I189" s="71"/>
      <c r="J189" s="71"/>
    </row>
    <row r="190" spans="1:10">
      <c r="A190" s="71"/>
      <c r="B190" s="72"/>
      <c r="C190" s="71"/>
      <c r="D190" s="71"/>
      <c r="E190" s="71"/>
      <c r="F190" s="71"/>
      <c r="G190" s="71"/>
      <c r="H190" s="71"/>
      <c r="I190" s="71"/>
      <c r="J190" s="71"/>
    </row>
    <row r="191" spans="1:10">
      <c r="A191" s="71"/>
      <c r="B191" s="72"/>
      <c r="C191" s="71"/>
      <c r="D191" s="71"/>
      <c r="E191" s="71"/>
      <c r="F191" s="71"/>
      <c r="G191" s="71"/>
      <c r="H191" s="71"/>
      <c r="I191" s="71"/>
      <c r="J191" s="71"/>
    </row>
    <row r="192" spans="1:10">
      <c r="A192" s="71"/>
      <c r="B192" s="72"/>
      <c r="C192" s="71"/>
      <c r="D192" s="71"/>
      <c r="E192" s="71"/>
      <c r="F192" s="71"/>
      <c r="G192" s="71"/>
      <c r="H192" s="71"/>
      <c r="I192" s="71"/>
      <c r="J192" s="71"/>
    </row>
    <row r="193" spans="1:10">
      <c r="A193" s="71"/>
      <c r="B193" s="72"/>
      <c r="C193" s="71"/>
      <c r="D193" s="71"/>
      <c r="E193" s="71"/>
      <c r="F193" s="71"/>
      <c r="G193" s="71"/>
      <c r="H193" s="71"/>
      <c r="I193" s="71"/>
      <c r="J193" s="71"/>
    </row>
    <row r="194" spans="1:10">
      <c r="A194" s="71"/>
      <c r="B194" s="72"/>
      <c r="C194" s="71"/>
      <c r="D194" s="71"/>
      <c r="E194" s="71"/>
      <c r="F194" s="71"/>
      <c r="G194" s="71"/>
      <c r="H194" s="71"/>
      <c r="I194" s="71"/>
      <c r="J194" s="71"/>
    </row>
    <row r="195" spans="1:10">
      <c r="A195" s="71"/>
      <c r="B195" s="72"/>
      <c r="C195" s="71"/>
      <c r="D195" s="71"/>
      <c r="E195" s="71"/>
      <c r="F195" s="71"/>
      <c r="G195" s="71"/>
      <c r="H195" s="71"/>
      <c r="I195" s="71"/>
      <c r="J195" s="71"/>
    </row>
    <row r="196" spans="1:10">
      <c r="A196" s="71"/>
      <c r="B196" s="72"/>
      <c r="C196" s="71"/>
      <c r="D196" s="71"/>
      <c r="E196" s="71"/>
      <c r="F196" s="71"/>
      <c r="G196" s="71"/>
      <c r="H196" s="71"/>
      <c r="I196" s="71"/>
      <c r="J196" s="71"/>
    </row>
    <row r="197" spans="1:10">
      <c r="A197" s="71"/>
      <c r="B197" s="72"/>
      <c r="C197" s="71"/>
      <c r="D197" s="71"/>
      <c r="E197" s="71"/>
      <c r="F197" s="71"/>
      <c r="G197" s="71"/>
      <c r="H197" s="71"/>
      <c r="I197" s="71"/>
      <c r="J197" s="71"/>
    </row>
    <row r="198" spans="1:10">
      <c r="A198" s="71"/>
      <c r="B198" s="72"/>
      <c r="C198" s="71"/>
      <c r="D198" s="71"/>
      <c r="E198" s="71"/>
      <c r="F198" s="71"/>
      <c r="G198" s="71"/>
      <c r="H198" s="71"/>
      <c r="I198" s="71"/>
      <c r="J198" s="71"/>
    </row>
    <row r="199" spans="1:10">
      <c r="A199" s="71"/>
      <c r="B199" s="72"/>
      <c r="C199" s="71"/>
      <c r="D199" s="71"/>
      <c r="E199" s="71"/>
      <c r="F199" s="71"/>
      <c r="G199" s="71"/>
      <c r="H199" s="71"/>
      <c r="I199" s="71"/>
      <c r="J199" s="71"/>
    </row>
    <row r="200" spans="1:10">
      <c r="A200" s="71"/>
      <c r="B200" s="72"/>
      <c r="C200" s="71"/>
      <c r="D200" s="71"/>
      <c r="E200" s="71"/>
      <c r="F200" s="71"/>
      <c r="G200" s="71"/>
      <c r="H200" s="71"/>
      <c r="I200" s="71"/>
      <c r="J200" s="71"/>
    </row>
    <row r="201" spans="1:10">
      <c r="A201" s="71"/>
      <c r="B201" s="72"/>
      <c r="C201" s="71"/>
      <c r="D201" s="71"/>
      <c r="E201" s="71"/>
      <c r="F201" s="71"/>
      <c r="G201" s="71"/>
      <c r="H201" s="71"/>
      <c r="I201" s="71"/>
      <c r="J201" s="71"/>
    </row>
    <row r="202" spans="1:10">
      <c r="A202" s="71"/>
      <c r="B202" s="72"/>
      <c r="C202" s="71"/>
      <c r="D202" s="71"/>
      <c r="E202" s="71"/>
      <c r="F202" s="71"/>
      <c r="G202" s="71"/>
      <c r="H202" s="71"/>
      <c r="I202" s="71"/>
      <c r="J202" s="71"/>
    </row>
    <row r="203" spans="1:10">
      <c r="A203" s="71"/>
      <c r="B203" s="72"/>
      <c r="C203" s="71"/>
      <c r="D203" s="71"/>
      <c r="E203" s="71"/>
      <c r="F203" s="71"/>
      <c r="G203" s="71"/>
      <c r="H203" s="71"/>
      <c r="I203" s="71"/>
      <c r="J203" s="71"/>
    </row>
    <row r="204" spans="1:10">
      <c r="A204" s="71"/>
      <c r="B204" s="72"/>
      <c r="C204" s="71"/>
      <c r="D204" s="71"/>
      <c r="E204" s="71"/>
      <c r="F204" s="71"/>
      <c r="G204" s="71"/>
      <c r="H204" s="71"/>
      <c r="I204" s="71"/>
      <c r="J204" s="71"/>
    </row>
    <row r="205" spans="1:10">
      <c r="A205" s="71"/>
      <c r="B205" s="72"/>
      <c r="C205" s="71"/>
      <c r="D205" s="71"/>
      <c r="E205" s="71"/>
      <c r="F205" s="71"/>
      <c r="G205" s="71"/>
      <c r="H205" s="71"/>
      <c r="I205" s="71"/>
      <c r="J205" s="71"/>
    </row>
    <row r="206" spans="1:10">
      <c r="A206" s="71"/>
      <c r="B206" s="72"/>
      <c r="C206" s="71"/>
      <c r="D206" s="71"/>
      <c r="E206" s="71"/>
      <c r="F206" s="71"/>
      <c r="G206" s="71"/>
      <c r="H206" s="71"/>
      <c r="I206" s="71"/>
      <c r="J206" s="71"/>
    </row>
    <row r="207" spans="1:10">
      <c r="A207" s="71"/>
      <c r="B207" s="72"/>
      <c r="C207" s="71"/>
      <c r="D207" s="71"/>
      <c r="E207" s="71"/>
      <c r="F207" s="71"/>
      <c r="G207" s="71"/>
      <c r="H207" s="71"/>
      <c r="I207" s="71"/>
      <c r="J207" s="71"/>
    </row>
    <row r="208" spans="1:10">
      <c r="A208" s="71"/>
      <c r="B208" s="72"/>
      <c r="C208" s="71"/>
      <c r="D208" s="71"/>
      <c r="E208" s="71"/>
      <c r="F208" s="71"/>
      <c r="G208" s="71"/>
      <c r="H208" s="71"/>
      <c r="I208" s="71"/>
      <c r="J208" s="71"/>
    </row>
    <row r="209" spans="1:10">
      <c r="A209" s="71"/>
      <c r="B209" s="72"/>
      <c r="C209" s="71"/>
      <c r="D209" s="71"/>
      <c r="E209" s="71"/>
      <c r="F209" s="71"/>
      <c r="G209" s="71"/>
      <c r="H209" s="71"/>
      <c r="I209" s="71"/>
      <c r="J209" s="71"/>
    </row>
    <row r="210" spans="1:10">
      <c r="A210" s="71"/>
      <c r="B210" s="72"/>
      <c r="C210" s="71"/>
      <c r="D210" s="71"/>
      <c r="E210" s="71"/>
      <c r="F210" s="71"/>
      <c r="G210" s="71"/>
      <c r="H210" s="71"/>
      <c r="I210" s="71"/>
      <c r="J210" s="71"/>
    </row>
    <row r="211" spans="1:10">
      <c r="A211" s="71"/>
      <c r="B211" s="72"/>
      <c r="C211" s="71"/>
      <c r="D211" s="71"/>
      <c r="E211" s="71"/>
      <c r="F211" s="71"/>
      <c r="G211" s="71"/>
      <c r="H211" s="71"/>
      <c r="I211" s="71"/>
      <c r="J211" s="71"/>
    </row>
    <row r="212" spans="1:10">
      <c r="A212" s="71"/>
      <c r="B212" s="72"/>
      <c r="C212" s="71"/>
      <c r="D212" s="71"/>
      <c r="E212" s="71"/>
      <c r="F212" s="71"/>
      <c r="G212" s="71"/>
      <c r="H212" s="71"/>
      <c r="I212" s="71"/>
      <c r="J212" s="71"/>
    </row>
    <row r="213" spans="1:10">
      <c r="A213" s="71"/>
      <c r="B213" s="72"/>
      <c r="C213" s="71"/>
      <c r="D213" s="71"/>
      <c r="E213" s="71"/>
      <c r="F213" s="71"/>
      <c r="G213" s="71"/>
      <c r="H213" s="71"/>
      <c r="I213" s="71"/>
      <c r="J213" s="71"/>
    </row>
    <row r="214" spans="1:10">
      <c r="A214" s="71"/>
      <c r="B214" s="72"/>
      <c r="C214" s="71"/>
      <c r="D214" s="71"/>
      <c r="E214" s="71"/>
      <c r="F214" s="71"/>
      <c r="G214" s="71"/>
      <c r="H214" s="71"/>
      <c r="I214" s="71"/>
      <c r="J214" s="71"/>
    </row>
    <row r="215" spans="1:10">
      <c r="A215" s="71"/>
      <c r="B215" s="72"/>
      <c r="C215" s="71"/>
      <c r="D215" s="71"/>
      <c r="E215" s="71"/>
      <c r="F215" s="71"/>
      <c r="G215" s="71"/>
      <c r="H215" s="71"/>
      <c r="I215" s="71"/>
      <c r="J215" s="71"/>
    </row>
    <row r="216" spans="1:10">
      <c r="A216" s="71"/>
      <c r="B216" s="72"/>
      <c r="C216" s="71"/>
      <c r="D216" s="71"/>
      <c r="E216" s="71"/>
      <c r="F216" s="71"/>
      <c r="G216" s="71"/>
      <c r="H216" s="71"/>
      <c r="I216" s="71"/>
      <c r="J216" s="71"/>
    </row>
    <row r="217" spans="1:10">
      <c r="A217" s="71"/>
      <c r="B217" s="72"/>
      <c r="C217" s="71"/>
      <c r="D217" s="71"/>
      <c r="E217" s="71"/>
      <c r="F217" s="71"/>
      <c r="G217" s="71"/>
      <c r="H217" s="71"/>
      <c r="I217" s="71"/>
      <c r="J217" s="71"/>
    </row>
    <row r="218" spans="1:10">
      <c r="A218" s="71"/>
      <c r="B218" s="72"/>
      <c r="C218" s="71"/>
      <c r="D218" s="71"/>
      <c r="E218" s="71"/>
      <c r="F218" s="71"/>
      <c r="G218" s="71"/>
      <c r="H218" s="71"/>
      <c r="I218" s="71"/>
      <c r="J218" s="71"/>
    </row>
    <row r="219" spans="1:10">
      <c r="A219" s="71"/>
      <c r="B219" s="72"/>
      <c r="C219" s="71"/>
      <c r="D219" s="71"/>
      <c r="E219" s="71"/>
      <c r="F219" s="71"/>
      <c r="G219" s="71"/>
      <c r="H219" s="71"/>
      <c r="I219" s="71"/>
      <c r="J219" s="71"/>
    </row>
    <row r="220" spans="1:10">
      <c r="A220" s="71"/>
      <c r="B220" s="72"/>
      <c r="C220" s="71"/>
      <c r="D220" s="71"/>
      <c r="E220" s="71"/>
      <c r="F220" s="71"/>
      <c r="G220" s="71"/>
      <c r="H220" s="71"/>
      <c r="I220" s="71"/>
      <c r="J220" s="71"/>
    </row>
    <row r="221" spans="1:10">
      <c r="A221" s="71"/>
      <c r="B221" s="72"/>
      <c r="C221" s="71"/>
      <c r="D221" s="71"/>
      <c r="E221" s="71"/>
      <c r="F221" s="71"/>
      <c r="G221" s="71"/>
      <c r="H221" s="71"/>
      <c r="I221" s="71"/>
      <c r="J221" s="71"/>
    </row>
    <row r="222" spans="1:10">
      <c r="A222" s="71"/>
      <c r="B222" s="72"/>
      <c r="C222" s="71"/>
      <c r="D222" s="71"/>
      <c r="E222" s="71"/>
      <c r="F222" s="71"/>
      <c r="G222" s="71"/>
      <c r="H222" s="71"/>
      <c r="I222" s="71"/>
      <c r="J222" s="71"/>
    </row>
    <row r="223" spans="1:10">
      <c r="A223" s="71"/>
      <c r="B223" s="72"/>
      <c r="C223" s="71"/>
      <c r="D223" s="71"/>
      <c r="E223" s="71"/>
      <c r="F223" s="71"/>
      <c r="G223" s="71"/>
      <c r="H223" s="71"/>
      <c r="I223" s="71"/>
      <c r="J223" s="71"/>
    </row>
    <row r="224" spans="1:10">
      <c r="A224" s="71"/>
      <c r="B224" s="72"/>
      <c r="C224" s="71"/>
      <c r="D224" s="71"/>
      <c r="E224" s="71"/>
      <c r="F224" s="71"/>
      <c r="G224" s="71"/>
      <c r="H224" s="71"/>
      <c r="I224" s="71"/>
      <c r="J224" s="71"/>
    </row>
    <row r="225" spans="1:10">
      <c r="A225" s="71"/>
      <c r="B225" s="72"/>
      <c r="C225" s="71"/>
      <c r="D225" s="71"/>
      <c r="E225" s="71"/>
      <c r="F225" s="71"/>
      <c r="G225" s="71"/>
      <c r="H225" s="71"/>
      <c r="I225" s="71"/>
      <c r="J225" s="71"/>
    </row>
    <row r="226" spans="1:10">
      <c r="A226" s="71"/>
      <c r="B226" s="72"/>
      <c r="C226" s="71"/>
      <c r="D226" s="71"/>
      <c r="E226" s="71"/>
      <c r="F226" s="71"/>
      <c r="G226" s="71"/>
      <c r="H226" s="71"/>
      <c r="I226" s="71"/>
      <c r="J226" s="71"/>
    </row>
    <row r="227" spans="1:10">
      <c r="A227" s="71"/>
      <c r="B227" s="72"/>
      <c r="C227" s="71"/>
      <c r="D227" s="71"/>
      <c r="E227" s="71"/>
      <c r="F227" s="71"/>
      <c r="G227" s="71"/>
      <c r="H227" s="71"/>
      <c r="I227" s="71"/>
      <c r="J227" s="71"/>
    </row>
    <row r="228" spans="1:10">
      <c r="A228" s="71"/>
      <c r="B228" s="72"/>
      <c r="C228" s="71"/>
      <c r="D228" s="71"/>
      <c r="E228" s="71"/>
      <c r="F228" s="71"/>
      <c r="G228" s="71"/>
      <c r="H228" s="71"/>
      <c r="I228" s="71"/>
      <c r="J228" s="71"/>
    </row>
    <row r="229" spans="1:10">
      <c r="A229" s="71"/>
      <c r="B229" s="72"/>
      <c r="C229" s="71"/>
      <c r="D229" s="71"/>
      <c r="E229" s="71"/>
      <c r="F229" s="71"/>
      <c r="G229" s="71"/>
      <c r="H229" s="71"/>
      <c r="I229" s="71"/>
      <c r="J229" s="71"/>
    </row>
    <row r="230" spans="1:10">
      <c r="A230" s="71"/>
      <c r="B230" s="72"/>
      <c r="C230" s="71"/>
      <c r="D230" s="71"/>
      <c r="E230" s="71"/>
      <c r="F230" s="71"/>
      <c r="G230" s="71"/>
      <c r="H230" s="71"/>
      <c r="I230" s="71"/>
      <c r="J230" s="71"/>
    </row>
    <row r="231" spans="1:10">
      <c r="A231" s="71"/>
      <c r="B231" s="72"/>
      <c r="C231" s="71"/>
      <c r="D231" s="71"/>
      <c r="E231" s="71"/>
      <c r="F231" s="71"/>
      <c r="G231" s="71"/>
      <c r="H231" s="71"/>
      <c r="I231" s="71"/>
      <c r="J231" s="71"/>
    </row>
    <row r="232" spans="1:10">
      <c r="A232" s="71"/>
      <c r="B232" s="72"/>
      <c r="C232" s="71"/>
      <c r="D232" s="71"/>
      <c r="E232" s="71"/>
      <c r="F232" s="71"/>
      <c r="G232" s="71"/>
      <c r="H232" s="71"/>
      <c r="I232" s="71"/>
      <c r="J232" s="71"/>
    </row>
    <row r="233" spans="1:10">
      <c r="A233" s="71"/>
      <c r="B233" s="72"/>
      <c r="C233" s="71"/>
      <c r="D233" s="71"/>
      <c r="E233" s="71"/>
      <c r="F233" s="71"/>
      <c r="G233" s="71"/>
      <c r="H233" s="71"/>
      <c r="I233" s="71"/>
      <c r="J233" s="71"/>
    </row>
    <row r="234" spans="1:10">
      <c r="A234" s="71"/>
      <c r="B234" s="72"/>
      <c r="C234" s="71"/>
      <c r="D234" s="71"/>
      <c r="E234" s="71"/>
      <c r="F234" s="71"/>
      <c r="G234" s="71"/>
      <c r="H234" s="71"/>
      <c r="I234" s="71"/>
      <c r="J234" s="71"/>
    </row>
    <row r="235" spans="1:10">
      <c r="A235" s="71"/>
      <c r="B235" s="72"/>
      <c r="C235" s="71"/>
      <c r="D235" s="71"/>
      <c r="E235" s="71"/>
      <c r="F235" s="71"/>
      <c r="G235" s="71"/>
      <c r="H235" s="71"/>
      <c r="I235" s="71"/>
      <c r="J235" s="71"/>
    </row>
    <row r="236" spans="1:10">
      <c r="A236" s="71"/>
      <c r="B236" s="72"/>
      <c r="C236" s="71"/>
      <c r="D236" s="71"/>
      <c r="E236" s="71"/>
      <c r="F236" s="71"/>
      <c r="G236" s="71"/>
      <c r="H236" s="71"/>
      <c r="I236" s="71"/>
      <c r="J236" s="71"/>
    </row>
    <row r="237" spans="1:10">
      <c r="A237" s="71"/>
      <c r="B237" s="72"/>
      <c r="C237" s="71"/>
      <c r="D237" s="71"/>
      <c r="E237" s="71"/>
      <c r="F237" s="71"/>
      <c r="G237" s="71"/>
      <c r="H237" s="71"/>
      <c r="I237" s="71"/>
      <c r="J237" s="71"/>
    </row>
    <row r="238" spans="1:10">
      <c r="A238" s="71"/>
      <c r="B238" s="72"/>
      <c r="C238" s="71"/>
      <c r="D238" s="71"/>
      <c r="E238" s="71"/>
      <c r="F238" s="71"/>
      <c r="G238" s="71"/>
      <c r="H238" s="71"/>
      <c r="I238" s="71"/>
      <c r="J238" s="71"/>
    </row>
    <row r="239" spans="1:10">
      <c r="A239" s="71"/>
      <c r="B239" s="72"/>
      <c r="C239" s="71"/>
      <c r="D239" s="71"/>
      <c r="E239" s="71"/>
      <c r="F239" s="71"/>
      <c r="G239" s="71"/>
      <c r="H239" s="71"/>
      <c r="I239" s="71"/>
      <c r="J239" s="71"/>
    </row>
    <row r="240" spans="1:10">
      <c r="A240" s="71"/>
      <c r="B240" s="72"/>
      <c r="C240" s="71"/>
      <c r="D240" s="71"/>
      <c r="E240" s="71"/>
      <c r="F240" s="71"/>
      <c r="G240" s="71"/>
      <c r="H240" s="71"/>
      <c r="I240" s="71"/>
      <c r="J240" s="71"/>
    </row>
    <row r="241" spans="1:10">
      <c r="A241" s="71"/>
      <c r="B241" s="72"/>
      <c r="C241" s="71"/>
      <c r="D241" s="71"/>
      <c r="E241" s="71"/>
      <c r="F241" s="71"/>
      <c r="G241" s="71"/>
      <c r="H241" s="71"/>
      <c r="I241" s="71"/>
      <c r="J241" s="71"/>
    </row>
    <row r="242" spans="1:10">
      <c r="A242" s="71"/>
      <c r="B242" s="72"/>
      <c r="C242" s="71"/>
      <c r="D242" s="71"/>
      <c r="E242" s="71"/>
      <c r="F242" s="71"/>
      <c r="G242" s="71"/>
      <c r="H242" s="71"/>
      <c r="I242" s="71"/>
      <c r="J242" s="71"/>
    </row>
    <row r="243" spans="1:10">
      <c r="A243" s="71"/>
      <c r="B243" s="72"/>
      <c r="C243" s="71"/>
      <c r="D243" s="71"/>
      <c r="E243" s="71"/>
      <c r="F243" s="71"/>
      <c r="G243" s="71"/>
      <c r="H243" s="71"/>
      <c r="I243" s="71"/>
      <c r="J243" s="71"/>
    </row>
    <row r="244" spans="1:10">
      <c r="A244" s="71"/>
      <c r="B244" s="72"/>
      <c r="C244" s="71"/>
      <c r="D244" s="71"/>
      <c r="E244" s="71"/>
      <c r="F244" s="71"/>
      <c r="G244" s="71"/>
      <c r="H244" s="71"/>
      <c r="I244" s="71"/>
      <c r="J244" s="71"/>
    </row>
    <row r="245" spans="1:10">
      <c r="A245" s="71"/>
      <c r="B245" s="72"/>
      <c r="C245" s="71"/>
      <c r="D245" s="71"/>
      <c r="E245" s="71"/>
      <c r="F245" s="71"/>
      <c r="G245" s="71"/>
      <c r="H245" s="71"/>
      <c r="I245" s="71"/>
      <c r="J245" s="71"/>
    </row>
    <row r="246" spans="1:10">
      <c r="A246" s="71"/>
      <c r="B246" s="72"/>
      <c r="C246" s="71"/>
      <c r="D246" s="71"/>
      <c r="E246" s="71"/>
      <c r="F246" s="71"/>
      <c r="G246" s="71"/>
      <c r="H246" s="71"/>
      <c r="I246" s="71"/>
      <c r="J246" s="71"/>
    </row>
    <row r="247" spans="1:10">
      <c r="A247" s="71"/>
      <c r="B247" s="72"/>
      <c r="C247" s="71"/>
      <c r="D247" s="71"/>
      <c r="E247" s="71"/>
      <c r="F247" s="71"/>
      <c r="G247" s="71"/>
      <c r="H247" s="71"/>
      <c r="I247" s="71"/>
      <c r="J247" s="71"/>
    </row>
    <row r="248" spans="1:10">
      <c r="A248" s="71"/>
      <c r="B248" s="72"/>
      <c r="C248" s="71"/>
      <c r="D248" s="71"/>
      <c r="E248" s="71"/>
      <c r="F248" s="71"/>
      <c r="G248" s="71"/>
      <c r="H248" s="71"/>
      <c r="I248" s="71"/>
      <c r="J248" s="71"/>
    </row>
    <row r="249" spans="1:10">
      <c r="A249" s="71"/>
      <c r="B249" s="72"/>
      <c r="C249" s="71"/>
      <c r="D249" s="71"/>
      <c r="E249" s="71"/>
      <c r="F249" s="71"/>
      <c r="G249" s="71"/>
      <c r="H249" s="71"/>
      <c r="I249" s="71"/>
      <c r="J249" s="71"/>
    </row>
    <row r="250" spans="1:10">
      <c r="A250" s="71"/>
      <c r="B250" s="72"/>
      <c r="C250" s="71"/>
      <c r="D250" s="71"/>
      <c r="E250" s="71"/>
      <c r="F250" s="71"/>
      <c r="G250" s="71"/>
      <c r="H250" s="71"/>
      <c r="I250" s="71"/>
      <c r="J250" s="71"/>
    </row>
    <row r="251" spans="1:10">
      <c r="A251" s="71"/>
      <c r="B251" s="72"/>
      <c r="C251" s="71"/>
      <c r="D251" s="71"/>
      <c r="E251" s="71"/>
      <c r="F251" s="71"/>
      <c r="G251" s="71"/>
      <c r="H251" s="71"/>
      <c r="I251" s="71"/>
      <c r="J251" s="71"/>
    </row>
    <row r="252" spans="1:10">
      <c r="A252" s="71"/>
      <c r="B252" s="72"/>
      <c r="C252" s="71"/>
      <c r="D252" s="71"/>
      <c r="E252" s="71"/>
      <c r="F252" s="71"/>
      <c r="G252" s="71"/>
      <c r="H252" s="71"/>
      <c r="I252" s="71"/>
      <c r="J252" s="71"/>
    </row>
    <row r="253" spans="1:10">
      <c r="A253" s="71"/>
      <c r="B253" s="72"/>
      <c r="C253" s="71"/>
      <c r="D253" s="71"/>
      <c r="E253" s="71"/>
      <c r="F253" s="71"/>
      <c r="G253" s="71"/>
      <c r="H253" s="71"/>
      <c r="I253" s="71"/>
      <c r="J253" s="71"/>
    </row>
    <row r="254" spans="1:10">
      <c r="A254" s="71"/>
      <c r="B254" s="72"/>
      <c r="C254" s="71"/>
      <c r="D254" s="71"/>
      <c r="E254" s="71"/>
      <c r="F254" s="71"/>
      <c r="G254" s="71"/>
      <c r="H254" s="71"/>
      <c r="I254" s="71"/>
      <c r="J254" s="71"/>
    </row>
    <row r="255" spans="1:10">
      <c r="A255" s="71"/>
      <c r="B255" s="72"/>
      <c r="C255" s="71"/>
      <c r="D255" s="71"/>
      <c r="E255" s="71"/>
      <c r="F255" s="71"/>
      <c r="G255" s="71"/>
      <c r="H255" s="71"/>
      <c r="I255" s="71"/>
      <c r="J255" s="71"/>
    </row>
    <row r="256" spans="1:10">
      <c r="A256" s="71"/>
      <c r="B256" s="72"/>
      <c r="C256" s="71"/>
      <c r="D256" s="71"/>
      <c r="E256" s="71"/>
      <c r="F256" s="71"/>
      <c r="G256" s="71"/>
      <c r="H256" s="71"/>
      <c r="I256" s="71"/>
      <c r="J256" s="71"/>
    </row>
    <row r="257" spans="1:10">
      <c r="A257" s="71"/>
      <c r="B257" s="72"/>
      <c r="C257" s="71"/>
      <c r="D257" s="71"/>
      <c r="E257" s="71"/>
      <c r="F257" s="71"/>
      <c r="G257" s="71"/>
      <c r="H257" s="71"/>
      <c r="I257" s="71"/>
      <c r="J257" s="71"/>
    </row>
    <row r="258" spans="1:10">
      <c r="A258" s="71"/>
      <c r="B258" s="72"/>
      <c r="C258" s="71"/>
      <c r="D258" s="71"/>
      <c r="E258" s="71"/>
      <c r="F258" s="71"/>
      <c r="G258" s="71"/>
      <c r="H258" s="71"/>
      <c r="I258" s="71"/>
      <c r="J258" s="71"/>
    </row>
    <row r="259" spans="1:10">
      <c r="A259" s="71"/>
      <c r="B259" s="72"/>
      <c r="C259" s="71"/>
      <c r="D259" s="71"/>
      <c r="E259" s="71"/>
      <c r="F259" s="71"/>
      <c r="G259" s="71"/>
      <c r="H259" s="71"/>
      <c r="I259" s="71"/>
      <c r="J259" s="71"/>
    </row>
    <row r="260" spans="1:10">
      <c r="A260" s="71"/>
      <c r="B260" s="72"/>
      <c r="C260" s="71"/>
      <c r="D260" s="71"/>
      <c r="E260" s="71"/>
      <c r="F260" s="71"/>
      <c r="G260" s="71"/>
      <c r="H260" s="71"/>
      <c r="I260" s="71"/>
      <c r="J260" s="71"/>
    </row>
    <row r="261" spans="1:10">
      <c r="A261" s="71"/>
      <c r="B261" s="72"/>
      <c r="C261" s="71"/>
      <c r="D261" s="71"/>
      <c r="E261" s="71"/>
      <c r="F261" s="71"/>
      <c r="G261" s="71"/>
      <c r="H261" s="71"/>
      <c r="I261" s="71"/>
      <c r="J261" s="71"/>
    </row>
    <row r="262" spans="1:10">
      <c r="A262" s="71"/>
      <c r="B262" s="72"/>
      <c r="C262" s="71"/>
      <c r="D262" s="71"/>
      <c r="E262" s="71"/>
      <c r="F262" s="71"/>
      <c r="G262" s="71"/>
      <c r="H262" s="71"/>
      <c r="I262" s="71"/>
      <c r="J262" s="71"/>
    </row>
    <row r="263" spans="1:10">
      <c r="A263" s="71"/>
      <c r="B263" s="72"/>
      <c r="C263" s="71"/>
      <c r="D263" s="71"/>
      <c r="E263" s="71"/>
      <c r="F263" s="71"/>
      <c r="G263" s="71"/>
      <c r="H263" s="71"/>
      <c r="I263" s="71"/>
      <c r="J263" s="71"/>
    </row>
    <row r="264" spans="1:10">
      <c r="A264" s="71"/>
      <c r="B264" s="72"/>
      <c r="C264" s="71"/>
      <c r="D264" s="71"/>
      <c r="E264" s="71"/>
      <c r="F264" s="71"/>
      <c r="G264" s="71"/>
      <c r="H264" s="71"/>
      <c r="I264" s="71"/>
      <c r="J264" s="71"/>
    </row>
    <row r="265" spans="1:10">
      <c r="A265" s="71"/>
      <c r="B265" s="72"/>
      <c r="C265" s="71"/>
      <c r="D265" s="71"/>
      <c r="E265" s="71"/>
      <c r="F265" s="71"/>
      <c r="G265" s="71"/>
      <c r="H265" s="71"/>
      <c r="I265" s="71"/>
      <c r="J265" s="71"/>
    </row>
    <row r="266" spans="1:10">
      <c r="A266" s="71"/>
      <c r="B266" s="72"/>
      <c r="C266" s="71"/>
      <c r="D266" s="71"/>
      <c r="E266" s="71"/>
      <c r="F266" s="71"/>
      <c r="G266" s="71"/>
      <c r="H266" s="71"/>
      <c r="I266" s="71"/>
      <c r="J266" s="71"/>
    </row>
    <row r="267" spans="1:10">
      <c r="A267" s="71"/>
      <c r="B267" s="72"/>
      <c r="C267" s="71"/>
      <c r="D267" s="71"/>
      <c r="E267" s="71"/>
      <c r="F267" s="71"/>
      <c r="G267" s="71"/>
      <c r="H267" s="71"/>
      <c r="I267" s="71"/>
      <c r="J267" s="71"/>
    </row>
    <row r="268" spans="1:10">
      <c r="A268" s="71"/>
      <c r="B268" s="72"/>
      <c r="C268" s="71"/>
      <c r="D268" s="71"/>
      <c r="E268" s="71"/>
      <c r="F268" s="71"/>
      <c r="G268" s="71"/>
      <c r="H268" s="71"/>
      <c r="I268" s="71"/>
      <c r="J268" s="71"/>
    </row>
    <row r="269" spans="1:10">
      <c r="A269" s="71"/>
      <c r="B269" s="72"/>
      <c r="C269" s="71"/>
      <c r="D269" s="71"/>
      <c r="E269" s="71"/>
      <c r="F269" s="71"/>
      <c r="G269" s="71"/>
      <c r="H269" s="71"/>
      <c r="I269" s="71"/>
      <c r="J269" s="71"/>
    </row>
    <row r="270" spans="1:10">
      <c r="A270" s="71"/>
      <c r="B270" s="72"/>
      <c r="C270" s="71"/>
      <c r="D270" s="71"/>
      <c r="E270" s="71"/>
      <c r="F270" s="71"/>
      <c r="G270" s="71"/>
      <c r="H270" s="71"/>
      <c r="I270" s="71"/>
      <c r="J270" s="71"/>
    </row>
    <row r="271" spans="1:10">
      <c r="A271" s="71"/>
      <c r="B271" s="72"/>
      <c r="C271" s="71"/>
      <c r="D271" s="71"/>
      <c r="E271" s="71"/>
      <c r="F271" s="71"/>
      <c r="G271" s="71"/>
      <c r="H271" s="71"/>
      <c r="I271" s="71"/>
      <c r="J271" s="71"/>
    </row>
    <row r="272" spans="1:10">
      <c r="A272" s="71"/>
      <c r="B272" s="72"/>
      <c r="C272" s="71"/>
      <c r="D272" s="71"/>
      <c r="E272" s="71"/>
      <c r="F272" s="71"/>
      <c r="G272" s="71"/>
      <c r="H272" s="71"/>
      <c r="I272" s="71"/>
      <c r="J272" s="71"/>
    </row>
    <row r="273" spans="1:10">
      <c r="A273" s="71"/>
      <c r="B273" s="72"/>
      <c r="C273" s="71"/>
      <c r="D273" s="71"/>
      <c r="E273" s="71"/>
      <c r="F273" s="71"/>
      <c r="G273" s="71"/>
      <c r="H273" s="71"/>
      <c r="I273" s="71"/>
      <c r="J273" s="71"/>
    </row>
    <row r="274" spans="1:10">
      <c r="A274" s="71"/>
      <c r="B274" s="72"/>
      <c r="C274" s="71"/>
      <c r="D274" s="71"/>
      <c r="E274" s="71"/>
      <c r="F274" s="71"/>
      <c r="G274" s="71"/>
      <c r="H274" s="71"/>
      <c r="I274" s="71"/>
      <c r="J274" s="71"/>
    </row>
    <row r="275" spans="1:10">
      <c r="A275" s="71"/>
      <c r="B275" s="72"/>
      <c r="C275" s="71"/>
      <c r="D275" s="71"/>
      <c r="E275" s="71"/>
      <c r="F275" s="71"/>
      <c r="G275" s="71"/>
      <c r="H275" s="71"/>
      <c r="I275" s="71"/>
      <c r="J275" s="71"/>
    </row>
    <row r="276" spans="1:10">
      <c r="A276" s="71"/>
      <c r="B276" s="72"/>
      <c r="C276" s="71"/>
      <c r="D276" s="71"/>
      <c r="E276" s="71"/>
      <c r="F276" s="71"/>
      <c r="G276" s="71"/>
      <c r="H276" s="71"/>
      <c r="I276" s="71"/>
      <c r="J276" s="71"/>
    </row>
    <row r="277" spans="1:10">
      <c r="A277" s="71"/>
      <c r="B277" s="72"/>
      <c r="C277" s="71"/>
      <c r="D277" s="71"/>
      <c r="E277" s="71"/>
      <c r="F277" s="71"/>
      <c r="G277" s="71"/>
      <c r="H277" s="71"/>
      <c r="I277" s="71"/>
      <c r="J277" s="71"/>
    </row>
    <row r="278" spans="1:10">
      <c r="A278" s="71"/>
      <c r="B278" s="72"/>
      <c r="C278" s="71"/>
      <c r="D278" s="71"/>
      <c r="E278" s="71"/>
      <c r="F278" s="71"/>
      <c r="G278" s="71"/>
      <c r="H278" s="71"/>
      <c r="I278" s="71"/>
      <c r="J278" s="71"/>
    </row>
    <row r="279" spans="1:10">
      <c r="A279" s="71"/>
      <c r="B279" s="72"/>
      <c r="C279" s="71"/>
      <c r="D279" s="71"/>
      <c r="E279" s="71"/>
      <c r="F279" s="71"/>
      <c r="G279" s="71"/>
      <c r="H279" s="71"/>
      <c r="I279" s="71"/>
      <c r="J279" s="71"/>
    </row>
    <row r="280" spans="1:10">
      <c r="A280" s="71"/>
      <c r="B280" s="72"/>
      <c r="C280" s="71"/>
      <c r="D280" s="71"/>
      <c r="E280" s="71"/>
      <c r="F280" s="71"/>
      <c r="G280" s="71"/>
      <c r="H280" s="71"/>
      <c r="I280" s="71"/>
      <c r="J280" s="71"/>
    </row>
    <row r="281" spans="1:10">
      <c r="A281" s="71"/>
      <c r="B281" s="72"/>
      <c r="C281" s="71"/>
      <c r="D281" s="71"/>
      <c r="E281" s="71"/>
      <c r="F281" s="71"/>
      <c r="G281" s="71"/>
      <c r="H281" s="71"/>
      <c r="I281" s="71"/>
      <c r="J281" s="71"/>
    </row>
    <row r="282" spans="1:10">
      <c r="A282" s="71"/>
      <c r="B282" s="72"/>
      <c r="C282" s="71"/>
      <c r="D282" s="71"/>
      <c r="E282" s="71"/>
      <c r="F282" s="71"/>
      <c r="G282" s="71"/>
      <c r="H282" s="71"/>
      <c r="I282" s="71"/>
      <c r="J282" s="71"/>
    </row>
    <row r="283" spans="1:10">
      <c r="A283" s="71"/>
      <c r="B283" s="72"/>
      <c r="C283" s="71"/>
      <c r="D283" s="71"/>
      <c r="E283" s="71"/>
      <c r="F283" s="71"/>
      <c r="G283" s="71"/>
      <c r="H283" s="71"/>
      <c r="I283" s="71"/>
      <c r="J283" s="71"/>
    </row>
    <row r="284" spans="1:10">
      <c r="A284" s="71"/>
      <c r="B284" s="72"/>
      <c r="C284" s="71"/>
      <c r="D284" s="71"/>
      <c r="E284" s="71"/>
      <c r="F284" s="71"/>
      <c r="G284" s="71"/>
      <c r="H284" s="71"/>
      <c r="I284" s="71"/>
      <c r="J284" s="71"/>
    </row>
    <row r="285" spans="1:10">
      <c r="A285" s="71"/>
      <c r="B285" s="72"/>
      <c r="C285" s="71"/>
      <c r="D285" s="71"/>
      <c r="E285" s="71"/>
      <c r="F285" s="71"/>
      <c r="G285" s="71"/>
      <c r="H285" s="71"/>
      <c r="I285" s="71"/>
      <c r="J285" s="71"/>
    </row>
    <row r="286" spans="1:10">
      <c r="A286" s="71"/>
      <c r="B286" s="72"/>
      <c r="C286" s="71"/>
      <c r="D286" s="71"/>
      <c r="E286" s="71"/>
      <c r="F286" s="71"/>
      <c r="G286" s="71"/>
      <c r="H286" s="71"/>
      <c r="I286" s="71"/>
      <c r="J286" s="71"/>
    </row>
    <row r="287" spans="1:10">
      <c r="A287" s="71"/>
      <c r="B287" s="72"/>
      <c r="C287" s="71"/>
      <c r="D287" s="71"/>
      <c r="E287" s="71"/>
      <c r="F287" s="71"/>
      <c r="G287" s="71"/>
      <c r="H287" s="71"/>
      <c r="I287" s="71"/>
      <c r="J287" s="71"/>
    </row>
    <row r="288" spans="1:10">
      <c r="A288" s="71"/>
      <c r="B288" s="72"/>
      <c r="C288" s="71"/>
      <c r="D288" s="71"/>
      <c r="E288" s="71"/>
      <c r="F288" s="71"/>
      <c r="G288" s="71"/>
      <c r="H288" s="71"/>
      <c r="I288" s="71"/>
      <c r="J288" s="71"/>
    </row>
    <row r="289" spans="1:10">
      <c r="A289" s="71"/>
      <c r="B289" s="72"/>
      <c r="C289" s="71"/>
      <c r="D289" s="71"/>
      <c r="E289" s="71"/>
      <c r="F289" s="71"/>
      <c r="G289" s="71"/>
      <c r="H289" s="71"/>
      <c r="I289" s="71"/>
      <c r="J289" s="71"/>
    </row>
    <row r="290" spans="1:10">
      <c r="A290" s="71"/>
      <c r="B290" s="72"/>
      <c r="C290" s="71"/>
      <c r="D290" s="71"/>
      <c r="E290" s="71"/>
      <c r="F290" s="71"/>
      <c r="G290" s="71"/>
      <c r="H290" s="71"/>
      <c r="I290" s="71"/>
      <c r="J290" s="71"/>
    </row>
    <row r="291" spans="1:10">
      <c r="A291" s="71"/>
      <c r="B291" s="72"/>
      <c r="C291" s="71"/>
      <c r="D291" s="71"/>
      <c r="E291" s="71"/>
      <c r="F291" s="71"/>
      <c r="G291" s="71"/>
      <c r="H291" s="71"/>
      <c r="I291" s="71"/>
      <c r="J291" s="71"/>
    </row>
    <row r="292" spans="1:10">
      <c r="A292" s="71"/>
      <c r="B292" s="72"/>
      <c r="C292" s="71"/>
      <c r="D292" s="71"/>
      <c r="E292" s="71"/>
      <c r="F292" s="71"/>
      <c r="G292" s="71"/>
      <c r="H292" s="71"/>
      <c r="I292" s="71"/>
      <c r="J292" s="71"/>
    </row>
    <row r="293" spans="1:10">
      <c r="A293" s="71"/>
      <c r="B293" s="72"/>
      <c r="C293" s="71"/>
      <c r="D293" s="71"/>
      <c r="E293" s="71"/>
      <c r="F293" s="71"/>
      <c r="G293" s="71"/>
      <c r="H293" s="71"/>
      <c r="I293" s="71"/>
      <c r="J293" s="71"/>
    </row>
    <row r="294" spans="1:10">
      <c r="A294" s="71"/>
      <c r="B294" s="72"/>
      <c r="C294" s="71"/>
      <c r="D294" s="71"/>
      <c r="E294" s="71"/>
      <c r="F294" s="71"/>
      <c r="G294" s="71"/>
      <c r="H294" s="71"/>
      <c r="I294" s="71"/>
      <c r="J294" s="71"/>
    </row>
    <row r="295" spans="1:10">
      <c r="A295" s="71"/>
      <c r="B295" s="72"/>
      <c r="C295" s="71"/>
      <c r="D295" s="71"/>
      <c r="E295" s="71"/>
      <c r="F295" s="71"/>
      <c r="G295" s="71"/>
      <c r="H295" s="71"/>
      <c r="I295" s="71"/>
      <c r="J295" s="71"/>
    </row>
    <row r="296" spans="1:10">
      <c r="A296" s="71"/>
      <c r="B296" s="72"/>
      <c r="C296" s="71"/>
      <c r="D296" s="71"/>
      <c r="E296" s="71"/>
      <c r="F296" s="71"/>
      <c r="G296" s="71"/>
      <c r="H296" s="71"/>
      <c r="I296" s="71"/>
      <c r="J296" s="71"/>
    </row>
    <row r="297" spans="1:10">
      <c r="A297" s="71"/>
      <c r="B297" s="72"/>
      <c r="C297" s="71"/>
      <c r="D297" s="71"/>
      <c r="E297" s="71"/>
      <c r="F297" s="71"/>
      <c r="G297" s="71"/>
      <c r="H297" s="71"/>
      <c r="I297" s="71"/>
      <c r="J297" s="71"/>
    </row>
    <row r="298" spans="1:10">
      <c r="A298" s="71"/>
      <c r="B298" s="72"/>
      <c r="C298" s="71"/>
      <c r="D298" s="71"/>
      <c r="E298" s="71"/>
      <c r="F298" s="71"/>
      <c r="G298" s="71"/>
      <c r="H298" s="71"/>
      <c r="I298" s="71"/>
      <c r="J298" s="71"/>
    </row>
    <row r="299" spans="1:10">
      <c r="A299" s="71"/>
      <c r="B299" s="72"/>
      <c r="C299" s="71"/>
      <c r="D299" s="71"/>
      <c r="E299" s="71"/>
      <c r="F299" s="71"/>
      <c r="G299" s="71"/>
      <c r="H299" s="71"/>
      <c r="I299" s="71"/>
      <c r="J299" s="71"/>
    </row>
    <row r="300" spans="1:10">
      <c r="A300" s="71"/>
      <c r="B300" s="72"/>
      <c r="C300" s="71"/>
      <c r="D300" s="71"/>
      <c r="E300" s="71"/>
      <c r="F300" s="71"/>
      <c r="G300" s="71"/>
      <c r="H300" s="71"/>
      <c r="I300" s="71"/>
      <c r="J300" s="71"/>
    </row>
    <row r="301" spans="1:10">
      <c r="A301" s="71"/>
      <c r="B301" s="72"/>
      <c r="C301" s="71"/>
      <c r="D301" s="71"/>
      <c r="E301" s="71"/>
      <c r="F301" s="71"/>
      <c r="G301" s="71"/>
      <c r="H301" s="71"/>
      <c r="I301" s="71"/>
      <c r="J301" s="71"/>
    </row>
    <row r="302" spans="1:10">
      <c r="A302" s="71"/>
      <c r="B302" s="72"/>
      <c r="C302" s="71"/>
      <c r="D302" s="71"/>
      <c r="E302" s="71"/>
      <c r="F302" s="71"/>
      <c r="G302" s="71"/>
      <c r="H302" s="71"/>
      <c r="I302" s="71"/>
      <c r="J302" s="71"/>
    </row>
    <row r="303" spans="1:10">
      <c r="A303" s="71"/>
      <c r="B303" s="72"/>
      <c r="C303" s="71"/>
      <c r="D303" s="71"/>
      <c r="E303" s="71"/>
      <c r="F303" s="71"/>
      <c r="G303" s="71"/>
      <c r="H303" s="71"/>
      <c r="I303" s="71"/>
      <c r="J303" s="71"/>
    </row>
    <row r="304" spans="1:10">
      <c r="A304" s="71"/>
      <c r="B304" s="72"/>
      <c r="C304" s="71"/>
      <c r="D304" s="71"/>
      <c r="E304" s="71"/>
      <c r="F304" s="71"/>
      <c r="G304" s="71"/>
      <c r="H304" s="71"/>
      <c r="I304" s="71"/>
      <c r="J304" s="71"/>
    </row>
    <row r="305" spans="1:10">
      <c r="A305" s="71"/>
      <c r="B305" s="72"/>
      <c r="C305" s="71"/>
      <c r="D305" s="71"/>
      <c r="E305" s="71"/>
      <c r="F305" s="71"/>
      <c r="G305" s="71"/>
      <c r="H305" s="71"/>
      <c r="I305" s="71"/>
      <c r="J305" s="71"/>
    </row>
    <row r="306" spans="1:10">
      <c r="A306" s="71"/>
      <c r="B306" s="72"/>
      <c r="C306" s="71"/>
      <c r="D306" s="71"/>
      <c r="E306" s="71"/>
      <c r="F306" s="71"/>
      <c r="G306" s="71"/>
      <c r="H306" s="71"/>
      <c r="I306" s="71"/>
      <c r="J306" s="71"/>
    </row>
    <row r="307" spans="1:10">
      <c r="A307" s="71"/>
      <c r="B307" s="72"/>
      <c r="C307" s="71"/>
      <c r="D307" s="71"/>
      <c r="E307" s="71"/>
      <c r="F307" s="71"/>
      <c r="G307" s="71"/>
      <c r="H307" s="71"/>
      <c r="I307" s="71"/>
      <c r="J307" s="71"/>
    </row>
    <row r="308" spans="1:10">
      <c r="A308" s="71"/>
      <c r="B308" s="72"/>
      <c r="C308" s="71"/>
      <c r="D308" s="71"/>
      <c r="E308" s="71"/>
      <c r="F308" s="71"/>
      <c r="G308" s="71"/>
      <c r="H308" s="71"/>
      <c r="I308" s="71"/>
      <c r="J308" s="71"/>
    </row>
    <row r="309" spans="1:10">
      <c r="A309" s="71"/>
      <c r="B309" s="72"/>
      <c r="C309" s="71"/>
      <c r="D309" s="71"/>
      <c r="E309" s="71"/>
      <c r="F309" s="71"/>
      <c r="G309" s="71"/>
      <c r="H309" s="71"/>
      <c r="I309" s="71"/>
      <c r="J309" s="71"/>
    </row>
    <row r="310" spans="1:10">
      <c r="A310" s="71"/>
      <c r="B310" s="72"/>
      <c r="C310" s="71"/>
      <c r="D310" s="71"/>
      <c r="E310" s="71"/>
      <c r="F310" s="71"/>
      <c r="G310" s="71"/>
      <c r="H310" s="71"/>
      <c r="I310" s="71"/>
      <c r="J310" s="71"/>
    </row>
    <row r="311" spans="1:10">
      <c r="A311" s="71"/>
      <c r="B311" s="72"/>
      <c r="C311" s="71"/>
      <c r="D311" s="71"/>
      <c r="E311" s="71"/>
      <c r="F311" s="71"/>
      <c r="G311" s="71"/>
      <c r="H311" s="71"/>
      <c r="I311" s="71"/>
      <c r="J311" s="71"/>
    </row>
    <row r="312" spans="1:10">
      <c r="A312" s="71"/>
      <c r="B312" s="72"/>
      <c r="C312" s="71"/>
      <c r="D312" s="71"/>
      <c r="E312" s="71"/>
      <c r="F312" s="71"/>
      <c r="G312" s="71"/>
      <c r="H312" s="71"/>
      <c r="I312" s="71"/>
      <c r="J312" s="71"/>
    </row>
    <row r="313" spans="1:10">
      <c r="A313" s="71"/>
      <c r="B313" s="72"/>
      <c r="C313" s="71"/>
      <c r="D313" s="71"/>
      <c r="E313" s="71"/>
      <c r="F313" s="71"/>
      <c r="G313" s="71"/>
      <c r="H313" s="71"/>
      <c r="I313" s="71"/>
      <c r="J313" s="71"/>
    </row>
    <row r="314" spans="1:10">
      <c r="A314" s="71"/>
      <c r="B314" s="72"/>
      <c r="C314" s="71"/>
      <c r="D314" s="71"/>
      <c r="E314" s="71"/>
      <c r="F314" s="71"/>
      <c r="G314" s="71"/>
      <c r="H314" s="71"/>
      <c r="I314" s="71"/>
      <c r="J314" s="71"/>
    </row>
    <row r="315" spans="1:10">
      <c r="A315" s="71"/>
      <c r="B315" s="72"/>
      <c r="C315" s="71"/>
      <c r="D315" s="71"/>
      <c r="E315" s="71"/>
      <c r="F315" s="71"/>
      <c r="G315" s="71"/>
      <c r="H315" s="71"/>
      <c r="I315" s="71"/>
      <c r="J315" s="71"/>
    </row>
    <row r="316" spans="1:10">
      <c r="A316" s="71"/>
      <c r="B316" s="72"/>
      <c r="C316" s="71"/>
      <c r="D316" s="71"/>
      <c r="E316" s="71"/>
      <c r="F316" s="71"/>
      <c r="G316" s="71"/>
      <c r="H316" s="71"/>
      <c r="I316" s="71"/>
      <c r="J316" s="71"/>
    </row>
    <row r="317" spans="1:10">
      <c r="A317" s="71"/>
      <c r="B317" s="72"/>
      <c r="C317" s="71"/>
      <c r="D317" s="71"/>
      <c r="E317" s="71"/>
      <c r="F317" s="71"/>
      <c r="G317" s="71"/>
      <c r="H317" s="71"/>
      <c r="I317" s="71"/>
      <c r="J317" s="71"/>
    </row>
    <row r="318" spans="1:10">
      <c r="A318" s="71"/>
      <c r="B318" s="72"/>
      <c r="C318" s="71"/>
      <c r="D318" s="71"/>
      <c r="E318" s="71"/>
      <c r="F318" s="71"/>
      <c r="G318" s="71"/>
      <c r="H318" s="71"/>
      <c r="I318" s="71"/>
      <c r="J318" s="71"/>
    </row>
    <row r="319" spans="1:10">
      <c r="A319" s="71"/>
      <c r="B319" s="72"/>
      <c r="C319" s="71"/>
      <c r="D319" s="71"/>
      <c r="E319" s="71"/>
      <c r="F319" s="71"/>
      <c r="G319" s="71"/>
      <c r="H319" s="71"/>
      <c r="I319" s="71"/>
      <c r="J319" s="71"/>
    </row>
    <row r="320" spans="1:10">
      <c r="A320" s="71"/>
      <c r="B320" s="72"/>
      <c r="C320" s="71"/>
      <c r="D320" s="71"/>
      <c r="E320" s="71"/>
      <c r="F320" s="71"/>
      <c r="G320" s="71"/>
      <c r="H320" s="71"/>
      <c r="I320" s="71"/>
      <c r="J320" s="71"/>
    </row>
    <row r="321" spans="1:10">
      <c r="A321" s="71"/>
      <c r="B321" s="72"/>
      <c r="C321" s="71"/>
      <c r="D321" s="71"/>
      <c r="E321" s="71"/>
      <c r="F321" s="71"/>
      <c r="G321" s="71"/>
      <c r="H321" s="71"/>
      <c r="I321" s="71"/>
      <c r="J321" s="71"/>
    </row>
    <row r="322" spans="1:10">
      <c r="A322" s="71"/>
      <c r="B322" s="72"/>
      <c r="C322" s="71"/>
      <c r="D322" s="71"/>
      <c r="E322" s="71"/>
      <c r="F322" s="71"/>
      <c r="G322" s="71"/>
      <c r="H322" s="71"/>
      <c r="I322" s="71"/>
      <c r="J322" s="71"/>
    </row>
    <row r="323" spans="1:10">
      <c r="A323" s="71"/>
      <c r="B323" s="72"/>
      <c r="C323" s="71"/>
      <c r="D323" s="71"/>
      <c r="E323" s="71"/>
      <c r="F323" s="71"/>
      <c r="G323" s="71"/>
      <c r="H323" s="71"/>
      <c r="I323" s="71"/>
      <c r="J323" s="71"/>
    </row>
    <row r="324" spans="1:10">
      <c r="A324" s="71"/>
      <c r="B324" s="72"/>
      <c r="C324" s="71"/>
      <c r="D324" s="71"/>
      <c r="E324" s="71"/>
      <c r="F324" s="71"/>
      <c r="G324" s="71"/>
      <c r="H324" s="71"/>
      <c r="I324" s="71"/>
      <c r="J324" s="71"/>
    </row>
    <row r="325" spans="1:10">
      <c r="A325" s="71"/>
      <c r="B325" s="72"/>
      <c r="C325" s="71"/>
      <c r="D325" s="71"/>
      <c r="E325" s="71"/>
      <c r="F325" s="71"/>
      <c r="G325" s="71"/>
      <c r="H325" s="71"/>
      <c r="I325" s="71"/>
      <c r="J325" s="71"/>
    </row>
    <row r="326" spans="1:10">
      <c r="A326" s="71"/>
      <c r="B326" s="72"/>
      <c r="C326" s="71"/>
      <c r="D326" s="71"/>
      <c r="E326" s="71"/>
      <c r="F326" s="71"/>
      <c r="G326" s="71"/>
      <c r="H326" s="71"/>
      <c r="I326" s="71"/>
      <c r="J326" s="71"/>
    </row>
    <row r="327" spans="1:10">
      <c r="A327" s="71"/>
      <c r="B327" s="72"/>
      <c r="C327" s="71"/>
      <c r="D327" s="71"/>
      <c r="E327" s="71"/>
      <c r="F327" s="71"/>
      <c r="G327" s="71"/>
      <c r="H327" s="71"/>
      <c r="I327" s="71"/>
      <c r="J327" s="71"/>
    </row>
    <row r="328" spans="1:10">
      <c r="A328" s="71"/>
      <c r="B328" s="72"/>
      <c r="C328" s="71"/>
      <c r="D328" s="71"/>
      <c r="E328" s="71"/>
      <c r="F328" s="71"/>
      <c r="G328" s="71"/>
      <c r="H328" s="71"/>
      <c r="I328" s="71"/>
      <c r="J328" s="71"/>
    </row>
    <row r="329" spans="1:10">
      <c r="A329" s="71"/>
      <c r="B329" s="72"/>
      <c r="C329" s="71"/>
      <c r="D329" s="71"/>
      <c r="E329" s="71"/>
      <c r="F329" s="71"/>
      <c r="G329" s="71"/>
      <c r="H329" s="71"/>
      <c r="I329" s="71"/>
      <c r="J329" s="71"/>
    </row>
    <row r="330" spans="1:10">
      <c r="A330" s="71"/>
      <c r="B330" s="72"/>
      <c r="C330" s="71"/>
      <c r="D330" s="71"/>
      <c r="E330" s="71"/>
      <c r="F330" s="71"/>
      <c r="G330" s="71"/>
      <c r="H330" s="71"/>
      <c r="I330" s="71"/>
      <c r="J330" s="71"/>
    </row>
    <row r="331" spans="1:10">
      <c r="A331" s="71"/>
      <c r="B331" s="72"/>
      <c r="C331" s="71"/>
      <c r="D331" s="71"/>
      <c r="E331" s="71"/>
      <c r="F331" s="71"/>
      <c r="G331" s="71"/>
      <c r="H331" s="71"/>
      <c r="I331" s="71"/>
      <c r="J331" s="71"/>
    </row>
    <row r="332" spans="1:10">
      <c r="A332" s="71"/>
      <c r="B332" s="72"/>
      <c r="C332" s="71"/>
      <c r="D332" s="71"/>
      <c r="E332" s="71"/>
      <c r="F332" s="71"/>
      <c r="G332" s="71"/>
      <c r="H332" s="71"/>
      <c r="I332" s="71"/>
      <c r="J332" s="71"/>
    </row>
    <row r="333" spans="1:10">
      <c r="A333" s="71"/>
      <c r="B333" s="72"/>
      <c r="C333" s="71"/>
      <c r="D333" s="71"/>
      <c r="E333" s="71"/>
      <c r="F333" s="71"/>
      <c r="G333" s="71"/>
      <c r="H333" s="71"/>
      <c r="I333" s="71"/>
      <c r="J333" s="71"/>
    </row>
    <row r="334" spans="1:10">
      <c r="A334" s="71"/>
      <c r="B334" s="72"/>
      <c r="C334" s="71"/>
      <c r="D334" s="71"/>
      <c r="E334" s="71"/>
      <c r="F334" s="71"/>
      <c r="G334" s="71"/>
      <c r="H334" s="71"/>
      <c r="I334" s="71"/>
      <c r="J334" s="71"/>
    </row>
    <row r="335" spans="1:10">
      <c r="A335" s="71"/>
      <c r="B335" s="72"/>
      <c r="C335" s="71"/>
      <c r="D335" s="71"/>
      <c r="E335" s="71"/>
      <c r="F335" s="71"/>
      <c r="G335" s="71"/>
      <c r="H335" s="71"/>
      <c r="I335" s="71"/>
      <c r="J335" s="71"/>
    </row>
    <row r="336" spans="1:10">
      <c r="A336" s="71"/>
      <c r="B336" s="72"/>
      <c r="C336" s="71"/>
      <c r="D336" s="71"/>
      <c r="E336" s="71"/>
      <c r="F336" s="71"/>
      <c r="G336" s="71"/>
      <c r="H336" s="71"/>
      <c r="I336" s="71"/>
      <c r="J336" s="71"/>
    </row>
    <row r="337" spans="1:10">
      <c r="A337" s="71"/>
      <c r="B337" s="72"/>
      <c r="C337" s="71"/>
      <c r="D337" s="71"/>
      <c r="E337" s="71"/>
      <c r="F337" s="71"/>
      <c r="G337" s="71"/>
      <c r="H337" s="71"/>
      <c r="I337" s="71"/>
      <c r="J337" s="71"/>
    </row>
    <row r="338" spans="1:10">
      <c r="A338" s="71"/>
      <c r="B338" s="72"/>
      <c r="C338" s="71"/>
      <c r="D338" s="71"/>
      <c r="E338" s="71"/>
      <c r="F338" s="71"/>
      <c r="G338" s="71"/>
      <c r="H338" s="71"/>
      <c r="I338" s="71"/>
      <c r="J338" s="71"/>
    </row>
    <row r="339" spans="1:10">
      <c r="A339" s="71"/>
      <c r="B339" s="72"/>
      <c r="C339" s="71"/>
      <c r="D339" s="71"/>
      <c r="E339" s="71"/>
      <c r="F339" s="71"/>
      <c r="G339" s="71"/>
      <c r="H339" s="71"/>
      <c r="I339" s="71"/>
      <c r="J339" s="71"/>
    </row>
    <row r="340" spans="1:10">
      <c r="A340" s="71"/>
      <c r="B340" s="72"/>
      <c r="C340" s="71"/>
      <c r="D340" s="71"/>
      <c r="E340" s="71"/>
      <c r="F340" s="71"/>
      <c r="G340" s="71"/>
      <c r="H340" s="71"/>
      <c r="I340" s="71"/>
      <c r="J340" s="71"/>
    </row>
    <row r="341" spans="1:10">
      <c r="A341" s="71"/>
      <c r="B341" s="72"/>
      <c r="C341" s="71"/>
      <c r="D341" s="71"/>
      <c r="E341" s="71"/>
      <c r="F341" s="71"/>
      <c r="G341" s="71"/>
      <c r="H341" s="71"/>
      <c r="I341" s="71"/>
      <c r="J341" s="71"/>
    </row>
    <row r="342" spans="1:10">
      <c r="A342" s="71"/>
      <c r="B342" s="72"/>
      <c r="C342" s="71"/>
      <c r="D342" s="71"/>
      <c r="E342" s="71"/>
      <c r="F342" s="71"/>
      <c r="G342" s="71"/>
      <c r="H342" s="71"/>
      <c r="I342" s="71"/>
      <c r="J342" s="71"/>
    </row>
    <row r="343" spans="1:10">
      <c r="A343" s="71"/>
      <c r="B343" s="72"/>
      <c r="C343" s="71"/>
      <c r="D343" s="71"/>
      <c r="E343" s="71"/>
      <c r="F343" s="71"/>
      <c r="G343" s="71"/>
      <c r="H343" s="71"/>
      <c r="I343" s="71"/>
      <c r="J343" s="71"/>
    </row>
    <row r="344" spans="1:10">
      <c r="A344" s="71"/>
      <c r="B344" s="72"/>
      <c r="C344" s="71"/>
      <c r="D344" s="71"/>
      <c r="E344" s="71"/>
      <c r="F344" s="71"/>
      <c r="G344" s="71"/>
      <c r="H344" s="71"/>
      <c r="I344" s="71"/>
      <c r="J344" s="71"/>
    </row>
    <row r="345" spans="1:10">
      <c r="A345" s="71"/>
      <c r="B345" s="72"/>
      <c r="C345" s="71"/>
      <c r="D345" s="71"/>
      <c r="E345" s="71"/>
      <c r="F345" s="71"/>
      <c r="G345" s="71"/>
      <c r="H345" s="71"/>
      <c r="I345" s="71"/>
      <c r="J345" s="71"/>
    </row>
    <row r="346" spans="1:10">
      <c r="A346" s="71"/>
      <c r="B346" s="72"/>
      <c r="C346" s="71"/>
      <c r="D346" s="71"/>
      <c r="E346" s="71"/>
      <c r="F346" s="71"/>
      <c r="G346" s="71"/>
      <c r="H346" s="71"/>
      <c r="I346" s="71"/>
      <c r="J346" s="71"/>
    </row>
    <row r="347" spans="1:10">
      <c r="A347" s="71"/>
      <c r="B347" s="72"/>
      <c r="C347" s="71"/>
      <c r="D347" s="71"/>
      <c r="E347" s="71"/>
      <c r="F347" s="71"/>
      <c r="G347" s="71"/>
      <c r="H347" s="71"/>
      <c r="I347" s="71"/>
      <c r="J347" s="71"/>
    </row>
    <row r="348" spans="1:10">
      <c r="A348" s="71"/>
      <c r="B348" s="72"/>
      <c r="C348" s="71"/>
      <c r="D348" s="71"/>
      <c r="E348" s="71"/>
      <c r="F348" s="71"/>
      <c r="G348" s="71"/>
      <c r="H348" s="71"/>
      <c r="I348" s="71"/>
      <c r="J348" s="71"/>
    </row>
    <row r="349" spans="1:10">
      <c r="A349" s="71"/>
      <c r="B349" s="72"/>
      <c r="C349" s="71"/>
      <c r="D349" s="71"/>
      <c r="E349" s="71"/>
      <c r="F349" s="71"/>
      <c r="G349" s="71"/>
      <c r="H349" s="71"/>
      <c r="I349" s="71"/>
      <c r="J349" s="71"/>
    </row>
    <row r="350" spans="1:10">
      <c r="A350" s="71"/>
      <c r="B350" s="72"/>
      <c r="C350" s="71"/>
      <c r="D350" s="71"/>
      <c r="E350" s="71"/>
      <c r="F350" s="71"/>
      <c r="G350" s="71"/>
      <c r="H350" s="71"/>
      <c r="I350" s="71"/>
      <c r="J350" s="71"/>
    </row>
    <row r="351" spans="1:10">
      <c r="A351" s="71"/>
      <c r="B351" s="72"/>
      <c r="C351" s="71"/>
      <c r="D351" s="71"/>
      <c r="E351" s="71"/>
      <c r="F351" s="71"/>
      <c r="G351" s="71"/>
      <c r="H351" s="71"/>
      <c r="I351" s="71"/>
      <c r="J351" s="71"/>
    </row>
    <row r="352" spans="1:10">
      <c r="A352" s="71"/>
      <c r="B352" s="72"/>
      <c r="C352" s="71"/>
      <c r="D352" s="71"/>
      <c r="E352" s="71"/>
      <c r="F352" s="71"/>
      <c r="G352" s="71"/>
      <c r="H352" s="71"/>
      <c r="I352" s="71"/>
      <c r="J352" s="71"/>
    </row>
    <row r="353" spans="1:10">
      <c r="A353" s="71"/>
      <c r="B353" s="72"/>
      <c r="C353" s="71"/>
      <c r="D353" s="71"/>
      <c r="E353" s="71"/>
      <c r="F353" s="71"/>
      <c r="G353" s="71"/>
      <c r="H353" s="71"/>
      <c r="I353" s="71"/>
      <c r="J353" s="71"/>
    </row>
    <row r="354" spans="1:10">
      <c r="A354" s="71"/>
      <c r="B354" s="72"/>
      <c r="C354" s="71"/>
      <c r="D354" s="71"/>
      <c r="E354" s="71"/>
      <c r="F354" s="71"/>
      <c r="G354" s="71"/>
      <c r="H354" s="71"/>
      <c r="I354" s="71"/>
      <c r="J354" s="71"/>
    </row>
    <row r="355" spans="1:10">
      <c r="A355" s="71"/>
      <c r="B355" s="72"/>
      <c r="C355" s="71"/>
      <c r="D355" s="71"/>
      <c r="E355" s="71"/>
      <c r="F355" s="71"/>
      <c r="G355" s="71"/>
      <c r="H355" s="71"/>
      <c r="I355" s="71"/>
      <c r="J355" s="71"/>
    </row>
    <row r="356" spans="1:10">
      <c r="A356" s="71"/>
      <c r="B356" s="72"/>
      <c r="C356" s="71"/>
      <c r="D356" s="71"/>
      <c r="E356" s="71"/>
      <c r="F356" s="71"/>
      <c r="G356" s="71"/>
      <c r="H356" s="71"/>
      <c r="I356" s="71"/>
      <c r="J356" s="71"/>
    </row>
    <row r="357" spans="1:10">
      <c r="A357" s="71"/>
      <c r="B357" s="72"/>
      <c r="C357" s="71"/>
      <c r="D357" s="71"/>
      <c r="E357" s="71"/>
      <c r="F357" s="71"/>
      <c r="G357" s="71"/>
      <c r="H357" s="71"/>
      <c r="I357" s="71"/>
      <c r="J357" s="71"/>
    </row>
    <row r="358" spans="1:10">
      <c r="A358" s="71"/>
      <c r="B358" s="72"/>
      <c r="C358" s="71"/>
      <c r="D358" s="71"/>
      <c r="E358" s="71"/>
      <c r="F358" s="71"/>
      <c r="G358" s="71"/>
      <c r="H358" s="71"/>
      <c r="I358" s="71"/>
      <c r="J358" s="71"/>
    </row>
    <row r="359" spans="1:10">
      <c r="A359" s="71"/>
      <c r="B359" s="72"/>
      <c r="C359" s="71"/>
      <c r="D359" s="71"/>
      <c r="E359" s="71"/>
      <c r="F359" s="71"/>
      <c r="G359" s="71"/>
      <c r="H359" s="71"/>
      <c r="I359" s="71"/>
      <c r="J359" s="71"/>
    </row>
    <row r="360" spans="1:10">
      <c r="A360" s="71"/>
      <c r="B360" s="72"/>
      <c r="C360" s="71"/>
      <c r="D360" s="71"/>
      <c r="E360" s="71"/>
      <c r="F360" s="71"/>
      <c r="G360" s="71"/>
      <c r="H360" s="71"/>
      <c r="I360" s="71"/>
      <c r="J360" s="71"/>
    </row>
    <row r="361" spans="1:10">
      <c r="A361" s="71"/>
      <c r="B361" s="72"/>
      <c r="C361" s="71"/>
      <c r="D361" s="71"/>
      <c r="E361" s="71"/>
      <c r="F361" s="71"/>
      <c r="G361" s="71"/>
      <c r="H361" s="71"/>
      <c r="I361" s="71"/>
      <c r="J361" s="71"/>
    </row>
    <row r="362" spans="1:10">
      <c r="A362" s="71"/>
      <c r="B362" s="72"/>
      <c r="C362" s="71"/>
      <c r="D362" s="71"/>
      <c r="E362" s="71"/>
      <c r="F362" s="71"/>
      <c r="G362" s="71"/>
      <c r="H362" s="71"/>
      <c r="I362" s="71"/>
      <c r="J362" s="71"/>
    </row>
    <row r="363" spans="1:10">
      <c r="A363" s="71"/>
      <c r="B363" s="72"/>
      <c r="C363" s="71"/>
      <c r="D363" s="71"/>
      <c r="E363" s="71"/>
      <c r="F363" s="71"/>
      <c r="G363" s="71"/>
      <c r="H363" s="71"/>
      <c r="I363" s="71"/>
      <c r="J363" s="71"/>
    </row>
    <row r="364" spans="1:10">
      <c r="A364" s="71"/>
      <c r="B364" s="72"/>
      <c r="C364" s="71"/>
      <c r="D364" s="71"/>
      <c r="E364" s="71"/>
      <c r="F364" s="71"/>
      <c r="G364" s="71"/>
      <c r="H364" s="71"/>
      <c r="I364" s="71"/>
      <c r="J364" s="71"/>
    </row>
    <row r="365" spans="1:10">
      <c r="A365" s="71"/>
      <c r="B365" s="72"/>
      <c r="C365" s="71"/>
      <c r="D365" s="71"/>
      <c r="E365" s="71"/>
      <c r="F365" s="71"/>
      <c r="G365" s="71"/>
      <c r="H365" s="71"/>
      <c r="I365" s="71"/>
      <c r="J365" s="71"/>
    </row>
    <row r="366" spans="1:10">
      <c r="A366" s="71"/>
      <c r="B366" s="72"/>
      <c r="C366" s="71"/>
      <c r="D366" s="71"/>
      <c r="E366" s="71"/>
      <c r="F366" s="71"/>
      <c r="G366" s="71"/>
      <c r="H366" s="71"/>
      <c r="I366" s="71"/>
      <c r="J366" s="71"/>
    </row>
    <row r="367" spans="1:10">
      <c r="A367" s="71"/>
      <c r="B367" s="72"/>
      <c r="C367" s="71"/>
      <c r="D367" s="71"/>
      <c r="E367" s="71"/>
      <c r="F367" s="71"/>
      <c r="G367" s="71"/>
      <c r="H367" s="71"/>
      <c r="I367" s="71"/>
      <c r="J367" s="71"/>
    </row>
    <row r="368" spans="1:10">
      <c r="A368" s="71"/>
      <c r="B368" s="72"/>
      <c r="C368" s="71"/>
      <c r="D368" s="71"/>
      <c r="E368" s="71"/>
      <c r="F368" s="71"/>
      <c r="G368" s="71"/>
      <c r="H368" s="71"/>
      <c r="I368" s="71"/>
      <c r="J368" s="71"/>
    </row>
    <row r="369" spans="1:10">
      <c r="A369" s="71"/>
      <c r="B369" s="72"/>
      <c r="C369" s="71"/>
      <c r="D369" s="71"/>
      <c r="E369" s="71"/>
      <c r="F369" s="71"/>
      <c r="G369" s="71"/>
      <c r="H369" s="71"/>
      <c r="I369" s="71"/>
      <c r="J369" s="71"/>
    </row>
    <row r="370" spans="1:10">
      <c r="A370" s="71"/>
      <c r="B370" s="72"/>
      <c r="C370" s="71"/>
      <c r="D370" s="71"/>
      <c r="E370" s="71"/>
      <c r="F370" s="71"/>
      <c r="G370" s="71"/>
      <c r="H370" s="71"/>
      <c r="I370" s="71"/>
      <c r="J370" s="71"/>
    </row>
    <row r="371" spans="1:10">
      <c r="A371" s="71"/>
      <c r="B371" s="72"/>
      <c r="C371" s="71"/>
      <c r="D371" s="71"/>
      <c r="E371" s="71"/>
      <c r="F371" s="71"/>
      <c r="G371" s="71"/>
      <c r="H371" s="71"/>
      <c r="I371" s="71"/>
      <c r="J371" s="71"/>
    </row>
    <row r="372" spans="1:10">
      <c r="A372" s="71"/>
      <c r="B372" s="72"/>
      <c r="C372" s="71"/>
      <c r="D372" s="71"/>
      <c r="E372" s="71"/>
      <c r="F372" s="71"/>
      <c r="G372" s="71"/>
      <c r="H372" s="71"/>
      <c r="I372" s="71"/>
      <c r="J372" s="71"/>
    </row>
    <row r="373" spans="1:10">
      <c r="A373" s="71"/>
      <c r="B373" s="72"/>
      <c r="C373" s="71"/>
      <c r="D373" s="71"/>
      <c r="E373" s="71"/>
      <c r="F373" s="71"/>
      <c r="G373" s="71"/>
      <c r="H373" s="71"/>
      <c r="I373" s="71"/>
      <c r="J373" s="71"/>
    </row>
    <row r="374" spans="1:10">
      <c r="A374" s="71"/>
      <c r="B374" s="72"/>
      <c r="C374" s="71"/>
      <c r="D374" s="71"/>
      <c r="E374" s="71"/>
      <c r="F374" s="71"/>
      <c r="G374" s="71"/>
      <c r="H374" s="71"/>
      <c r="I374" s="71"/>
      <c r="J374" s="71"/>
    </row>
    <row r="375" spans="1:10">
      <c r="A375" s="71"/>
      <c r="B375" s="72"/>
      <c r="C375" s="71"/>
      <c r="D375" s="71"/>
      <c r="E375" s="71"/>
      <c r="F375" s="71"/>
      <c r="G375" s="71"/>
      <c r="H375" s="71"/>
      <c r="I375" s="71"/>
      <c r="J375" s="71"/>
    </row>
    <row r="376" spans="1:10">
      <c r="A376" s="71"/>
      <c r="B376" s="72"/>
      <c r="C376" s="71"/>
      <c r="D376" s="71"/>
      <c r="E376" s="71"/>
      <c r="F376" s="71"/>
      <c r="G376" s="71"/>
      <c r="H376" s="71"/>
      <c r="I376" s="71"/>
      <c r="J376" s="71"/>
    </row>
    <row r="377" spans="1:10">
      <c r="A377" s="71"/>
      <c r="B377" s="72"/>
      <c r="C377" s="71"/>
      <c r="D377" s="71"/>
      <c r="E377" s="71"/>
      <c r="F377" s="71"/>
      <c r="G377" s="71"/>
      <c r="H377" s="71"/>
      <c r="I377" s="71"/>
      <c r="J377" s="71"/>
    </row>
    <row r="378" spans="1:10">
      <c r="A378" s="71"/>
      <c r="B378" s="72"/>
      <c r="C378" s="71"/>
      <c r="D378" s="71"/>
      <c r="E378" s="71"/>
      <c r="F378" s="71"/>
      <c r="G378" s="71"/>
      <c r="H378" s="71"/>
      <c r="I378" s="71"/>
      <c r="J378" s="71"/>
    </row>
    <row r="379" spans="1:10">
      <c r="A379" s="71"/>
      <c r="B379" s="72"/>
      <c r="C379" s="71"/>
      <c r="D379" s="71"/>
      <c r="E379" s="71"/>
      <c r="F379" s="71"/>
      <c r="G379" s="71"/>
      <c r="H379" s="71"/>
      <c r="I379" s="71"/>
      <c r="J379" s="71"/>
    </row>
    <row r="380" spans="1:10">
      <c r="A380" s="71"/>
      <c r="B380" s="72"/>
      <c r="C380" s="71"/>
      <c r="D380" s="71"/>
      <c r="E380" s="71"/>
      <c r="F380" s="71"/>
      <c r="G380" s="71"/>
      <c r="H380" s="71"/>
      <c r="I380" s="71"/>
      <c r="J380" s="71"/>
    </row>
    <row r="381" spans="1:10">
      <c r="A381" s="71"/>
      <c r="B381" s="72"/>
      <c r="C381" s="71"/>
      <c r="D381" s="71"/>
      <c r="E381" s="71"/>
      <c r="F381" s="71"/>
      <c r="G381" s="71"/>
      <c r="H381" s="71"/>
      <c r="I381" s="71"/>
      <c r="J381" s="71"/>
    </row>
    <row r="382" spans="1:10">
      <c r="A382" s="71"/>
      <c r="B382" s="72"/>
      <c r="C382" s="71"/>
      <c r="D382" s="71"/>
      <c r="E382" s="71"/>
      <c r="F382" s="71"/>
      <c r="G382" s="71"/>
      <c r="H382" s="71"/>
      <c r="I382" s="71"/>
      <c r="J382" s="71"/>
    </row>
    <row r="383" spans="1:10">
      <c r="A383" s="71"/>
      <c r="B383" s="72"/>
      <c r="C383" s="71"/>
      <c r="D383" s="71"/>
      <c r="E383" s="71"/>
      <c r="F383" s="71"/>
      <c r="G383" s="71"/>
      <c r="H383" s="71"/>
      <c r="I383" s="71"/>
      <c r="J383" s="71"/>
    </row>
    <row r="384" spans="1:10">
      <c r="A384" s="71"/>
      <c r="B384" s="72"/>
      <c r="C384" s="71"/>
      <c r="D384" s="71"/>
      <c r="E384" s="71"/>
      <c r="F384" s="71"/>
      <c r="G384" s="71"/>
      <c r="H384" s="71"/>
      <c r="I384" s="71"/>
      <c r="J384" s="71"/>
    </row>
    <row r="385" spans="1:10">
      <c r="A385" s="71"/>
      <c r="B385" s="72"/>
      <c r="C385" s="71"/>
      <c r="D385" s="71"/>
      <c r="E385" s="71"/>
      <c r="F385" s="71"/>
      <c r="G385" s="71"/>
      <c r="H385" s="71"/>
      <c r="I385" s="71"/>
      <c r="J385" s="71"/>
    </row>
    <row r="386" spans="1:10">
      <c r="A386" s="71"/>
      <c r="B386" s="72"/>
      <c r="C386" s="71"/>
      <c r="D386" s="71"/>
      <c r="E386" s="71"/>
      <c r="F386" s="71"/>
      <c r="G386" s="71"/>
      <c r="H386" s="71"/>
      <c r="I386" s="71"/>
      <c r="J386" s="71"/>
    </row>
    <row r="387" spans="1:10">
      <c r="A387" s="71"/>
      <c r="B387" s="72"/>
      <c r="C387" s="71"/>
      <c r="D387" s="71"/>
      <c r="E387" s="71"/>
      <c r="F387" s="71"/>
      <c r="G387" s="71"/>
      <c r="H387" s="71"/>
      <c r="I387" s="71"/>
      <c r="J387" s="71"/>
    </row>
    <row r="388" spans="1:10">
      <c r="A388" s="71"/>
      <c r="B388" s="72"/>
      <c r="C388" s="71"/>
      <c r="D388" s="71"/>
      <c r="E388" s="71"/>
      <c r="F388" s="71"/>
      <c r="G388" s="71"/>
      <c r="H388" s="71"/>
      <c r="I388" s="71"/>
      <c r="J388" s="71"/>
    </row>
    <row r="389" spans="1:10">
      <c r="A389" s="71"/>
      <c r="B389" s="72"/>
      <c r="C389" s="71"/>
      <c r="D389" s="71"/>
      <c r="E389" s="71"/>
      <c r="F389" s="71"/>
      <c r="G389" s="71"/>
      <c r="H389" s="71"/>
      <c r="I389" s="71"/>
      <c r="J389" s="71"/>
    </row>
    <row r="390" spans="1:10">
      <c r="A390" s="71"/>
      <c r="B390" s="72"/>
      <c r="C390" s="71"/>
      <c r="D390" s="71"/>
      <c r="E390" s="71"/>
      <c r="F390" s="71"/>
      <c r="G390" s="71"/>
      <c r="H390" s="71"/>
      <c r="I390" s="71"/>
      <c r="J390" s="71"/>
    </row>
    <row r="391" spans="1:10">
      <c r="A391" s="71"/>
      <c r="B391" s="72"/>
      <c r="C391" s="71"/>
      <c r="D391" s="71"/>
      <c r="E391" s="71"/>
      <c r="F391" s="71"/>
      <c r="G391" s="71"/>
      <c r="H391" s="71"/>
      <c r="I391" s="71"/>
      <c r="J391" s="71"/>
    </row>
    <row r="392" spans="1:10">
      <c r="A392" s="71"/>
      <c r="B392" s="72"/>
      <c r="C392" s="71"/>
      <c r="D392" s="71"/>
      <c r="E392" s="71"/>
      <c r="F392" s="71"/>
      <c r="G392" s="71"/>
      <c r="H392" s="71"/>
      <c r="I392" s="71"/>
      <c r="J392" s="71"/>
    </row>
    <row r="393" spans="1:10">
      <c r="A393" s="71"/>
      <c r="B393" s="72"/>
      <c r="C393" s="71"/>
      <c r="D393" s="71"/>
      <c r="E393" s="71"/>
      <c r="F393" s="71"/>
      <c r="G393" s="71"/>
      <c r="H393" s="71"/>
      <c r="I393" s="71"/>
      <c r="J393" s="71"/>
    </row>
    <row r="394" spans="1:10">
      <c r="A394" s="71"/>
      <c r="B394" s="72"/>
      <c r="C394" s="71"/>
      <c r="D394" s="71"/>
      <c r="E394" s="71"/>
      <c r="F394" s="71"/>
      <c r="G394" s="71"/>
      <c r="H394" s="71"/>
      <c r="I394" s="71"/>
      <c r="J394" s="71"/>
    </row>
    <row r="395" spans="1:10">
      <c r="A395" s="71"/>
      <c r="B395" s="72"/>
      <c r="C395" s="71"/>
      <c r="D395" s="71"/>
      <c r="E395" s="71"/>
      <c r="F395" s="71"/>
      <c r="G395" s="71"/>
      <c r="H395" s="71"/>
      <c r="I395" s="71"/>
      <c r="J395" s="71"/>
    </row>
    <row r="396" spans="1:10">
      <c r="A396" s="71"/>
      <c r="B396" s="72"/>
      <c r="C396" s="71"/>
      <c r="D396" s="71"/>
      <c r="E396" s="71"/>
      <c r="F396" s="71"/>
      <c r="G396" s="71"/>
      <c r="H396" s="71"/>
      <c r="I396" s="71"/>
      <c r="J396" s="71"/>
    </row>
    <row r="397" spans="1:10">
      <c r="A397" s="71"/>
      <c r="B397" s="72"/>
      <c r="C397" s="71"/>
      <c r="D397" s="71"/>
      <c r="E397" s="71"/>
      <c r="F397" s="71"/>
      <c r="G397" s="71"/>
      <c r="H397" s="71"/>
      <c r="I397" s="71"/>
      <c r="J397" s="71"/>
    </row>
    <row r="398" spans="1:10">
      <c r="A398" s="71"/>
      <c r="B398" s="72"/>
      <c r="C398" s="71"/>
      <c r="D398" s="71"/>
      <c r="E398" s="71"/>
      <c r="F398" s="71"/>
      <c r="G398" s="71"/>
      <c r="H398" s="71"/>
      <c r="I398" s="71"/>
      <c r="J398" s="71"/>
    </row>
    <row r="399" spans="1:10">
      <c r="A399" s="71"/>
      <c r="B399" s="72"/>
      <c r="C399" s="71"/>
      <c r="D399" s="71"/>
      <c r="E399" s="71"/>
      <c r="F399" s="71"/>
      <c r="G399" s="71"/>
      <c r="H399" s="71"/>
      <c r="I399" s="71"/>
      <c r="J399" s="71"/>
    </row>
    <row r="400" spans="1:10">
      <c r="A400" s="71"/>
      <c r="B400" s="72"/>
      <c r="C400" s="71"/>
      <c r="D400" s="71"/>
      <c r="E400" s="71"/>
      <c r="F400" s="71"/>
      <c r="G400" s="71"/>
      <c r="H400" s="71"/>
      <c r="I400" s="71"/>
      <c r="J400" s="71"/>
    </row>
    <row r="401" spans="1:10">
      <c r="A401" s="71"/>
      <c r="B401" s="72"/>
      <c r="C401" s="71"/>
      <c r="D401" s="71"/>
      <c r="E401" s="71"/>
      <c r="F401" s="71"/>
      <c r="G401" s="71"/>
      <c r="H401" s="71"/>
      <c r="I401" s="71"/>
      <c r="J401" s="71"/>
    </row>
    <row r="402" spans="1:10">
      <c r="A402" s="71"/>
      <c r="B402" s="72"/>
      <c r="C402" s="71"/>
      <c r="D402" s="71"/>
      <c r="E402" s="71"/>
      <c r="F402" s="71"/>
      <c r="G402" s="71"/>
      <c r="H402" s="71"/>
      <c r="I402" s="71"/>
      <c r="J402" s="71"/>
    </row>
    <row r="403" spans="1:10">
      <c r="A403" s="71"/>
      <c r="B403" s="72"/>
      <c r="C403" s="71"/>
      <c r="D403" s="71"/>
      <c r="E403" s="71"/>
      <c r="F403" s="71"/>
      <c r="G403" s="71"/>
      <c r="H403" s="71"/>
      <c r="I403" s="71"/>
      <c r="J403" s="71"/>
    </row>
    <row r="404" spans="1:10">
      <c r="A404" s="71"/>
      <c r="B404" s="72"/>
      <c r="C404" s="71"/>
      <c r="D404" s="71"/>
      <c r="E404" s="71"/>
      <c r="F404" s="71"/>
      <c r="G404" s="71"/>
      <c r="H404" s="71"/>
      <c r="I404" s="71"/>
      <c r="J404" s="71"/>
    </row>
    <row r="405" spans="1:10">
      <c r="A405" s="71"/>
      <c r="B405" s="72"/>
      <c r="C405" s="71"/>
      <c r="D405" s="71"/>
      <c r="E405" s="71"/>
      <c r="F405" s="71"/>
      <c r="G405" s="71"/>
      <c r="H405" s="71"/>
      <c r="I405" s="71"/>
      <c r="J405" s="71"/>
    </row>
    <row r="406" spans="1:10">
      <c r="A406" s="71"/>
      <c r="B406" s="72"/>
      <c r="C406" s="71"/>
      <c r="D406" s="71"/>
      <c r="E406" s="71"/>
      <c r="F406" s="71"/>
      <c r="G406" s="71"/>
      <c r="H406" s="71"/>
      <c r="I406" s="71"/>
      <c r="J406" s="71"/>
    </row>
    <row r="407" spans="1:10">
      <c r="A407" s="71"/>
      <c r="B407" s="72"/>
      <c r="C407" s="71"/>
      <c r="D407" s="71"/>
      <c r="E407" s="71"/>
      <c r="F407" s="71"/>
      <c r="G407" s="71"/>
      <c r="H407" s="71"/>
      <c r="I407" s="71"/>
      <c r="J407" s="71"/>
    </row>
    <row r="408" spans="1:10">
      <c r="A408" s="71"/>
      <c r="B408" s="72"/>
      <c r="C408" s="71"/>
      <c r="D408" s="71"/>
      <c r="E408" s="71"/>
      <c r="F408" s="71"/>
      <c r="G408" s="71"/>
      <c r="H408" s="71"/>
      <c r="I408" s="71"/>
      <c r="J408" s="71"/>
    </row>
    <row r="409" spans="1:10">
      <c r="A409" s="71"/>
      <c r="B409" s="72"/>
      <c r="C409" s="71"/>
      <c r="D409" s="71"/>
      <c r="E409" s="71"/>
      <c r="F409" s="71"/>
      <c r="G409" s="71"/>
      <c r="H409" s="71"/>
      <c r="I409" s="71"/>
      <c r="J409" s="71"/>
    </row>
    <row r="410" spans="1:10">
      <c r="A410" s="71"/>
      <c r="B410" s="72"/>
      <c r="C410" s="71"/>
      <c r="D410" s="71"/>
      <c r="E410" s="71"/>
      <c r="F410" s="71"/>
      <c r="G410" s="71"/>
      <c r="H410" s="71"/>
      <c r="I410" s="71"/>
      <c r="J410" s="71"/>
    </row>
    <row r="411" spans="1:10">
      <c r="A411" s="71"/>
      <c r="B411" s="72"/>
      <c r="C411" s="71"/>
      <c r="D411" s="71"/>
      <c r="E411" s="71"/>
      <c r="F411" s="71"/>
      <c r="G411" s="71"/>
      <c r="H411" s="71"/>
      <c r="I411" s="71"/>
      <c r="J411" s="71"/>
    </row>
    <row r="412" spans="1:10">
      <c r="A412" s="71"/>
      <c r="B412" s="72"/>
      <c r="C412" s="71"/>
      <c r="D412" s="71"/>
      <c r="E412" s="71"/>
      <c r="F412" s="71"/>
      <c r="G412" s="71"/>
      <c r="H412" s="71"/>
      <c r="I412" s="71"/>
      <c r="J412" s="71"/>
    </row>
    <row r="413" spans="1:10">
      <c r="A413" s="71"/>
      <c r="B413" s="72"/>
      <c r="C413" s="71"/>
      <c r="D413" s="71"/>
      <c r="E413" s="71"/>
      <c r="F413" s="71"/>
      <c r="G413" s="71"/>
      <c r="H413" s="71"/>
      <c r="I413" s="71"/>
      <c r="J413" s="71"/>
    </row>
    <row r="414" spans="1:10">
      <c r="A414" s="71"/>
      <c r="B414" s="72"/>
      <c r="C414" s="71"/>
      <c r="D414" s="71"/>
      <c r="E414" s="71"/>
      <c r="F414" s="71"/>
      <c r="G414" s="71"/>
      <c r="H414" s="71"/>
      <c r="I414" s="71"/>
      <c r="J414" s="71"/>
    </row>
    <row r="415" spans="1:10">
      <c r="A415" s="71"/>
      <c r="B415" s="72"/>
      <c r="C415" s="71"/>
      <c r="D415" s="71"/>
      <c r="E415" s="71"/>
      <c r="F415" s="71"/>
      <c r="G415" s="71"/>
      <c r="H415" s="71"/>
      <c r="I415" s="71"/>
      <c r="J415" s="71"/>
    </row>
    <row r="416" spans="1:10">
      <c r="A416" s="71"/>
      <c r="B416" s="72"/>
      <c r="C416" s="71"/>
      <c r="D416" s="71"/>
      <c r="E416" s="71"/>
      <c r="F416" s="71"/>
      <c r="G416" s="71"/>
      <c r="H416" s="71"/>
      <c r="I416" s="71"/>
      <c r="J416" s="71"/>
    </row>
    <row r="417" spans="1:10">
      <c r="A417" s="71"/>
      <c r="B417" s="72"/>
      <c r="C417" s="71"/>
      <c r="D417" s="71"/>
      <c r="E417" s="71"/>
      <c r="F417" s="71"/>
      <c r="G417" s="71"/>
      <c r="H417" s="71"/>
      <c r="I417" s="71"/>
      <c r="J417" s="71"/>
    </row>
    <row r="418" spans="1:10">
      <c r="A418" s="71"/>
      <c r="B418" s="72"/>
      <c r="C418" s="71"/>
      <c r="D418" s="71"/>
      <c r="E418" s="71"/>
      <c r="F418" s="71"/>
      <c r="G418" s="71"/>
      <c r="H418" s="71"/>
      <c r="I418" s="71"/>
      <c r="J418" s="71"/>
    </row>
    <row r="419" spans="1:10">
      <c r="A419" s="71"/>
      <c r="B419" s="72"/>
      <c r="C419" s="71"/>
      <c r="D419" s="71"/>
      <c r="E419" s="71"/>
      <c r="F419" s="71"/>
      <c r="G419" s="71"/>
      <c r="H419" s="71"/>
      <c r="I419" s="71"/>
      <c r="J419" s="71"/>
    </row>
    <row r="420" spans="1:10">
      <c r="A420" s="71"/>
      <c r="B420" s="72"/>
      <c r="C420" s="71"/>
      <c r="D420" s="71"/>
      <c r="E420" s="71"/>
      <c r="F420" s="71"/>
      <c r="G420" s="71"/>
      <c r="H420" s="71"/>
      <c r="I420" s="71"/>
      <c r="J420" s="71"/>
    </row>
    <row r="421" spans="1:10">
      <c r="A421" s="71"/>
      <c r="B421" s="72"/>
      <c r="C421" s="71"/>
      <c r="D421" s="71"/>
      <c r="E421" s="71"/>
      <c r="F421" s="71"/>
      <c r="G421" s="71"/>
      <c r="H421" s="71"/>
      <c r="I421" s="71"/>
      <c r="J421" s="71"/>
    </row>
    <row r="422" spans="1:10">
      <c r="A422" s="71"/>
      <c r="B422" s="72"/>
      <c r="C422" s="71"/>
      <c r="D422" s="71"/>
      <c r="E422" s="71"/>
      <c r="F422" s="71"/>
      <c r="G422" s="71"/>
      <c r="H422" s="71"/>
      <c r="I422" s="71"/>
      <c r="J422" s="71"/>
    </row>
    <row r="423" spans="1:10">
      <c r="A423" s="71"/>
      <c r="B423" s="72"/>
      <c r="C423" s="71"/>
      <c r="D423" s="71"/>
      <c r="E423" s="71"/>
      <c r="F423" s="71"/>
      <c r="G423" s="71"/>
      <c r="H423" s="71"/>
      <c r="I423" s="71"/>
      <c r="J423" s="71"/>
    </row>
    <row r="424" spans="1:10">
      <c r="A424" s="71"/>
      <c r="B424" s="72"/>
      <c r="C424" s="71"/>
      <c r="D424" s="71"/>
      <c r="E424" s="71"/>
      <c r="F424" s="71"/>
      <c r="G424" s="71"/>
      <c r="H424" s="71"/>
      <c r="I424" s="71"/>
      <c r="J424" s="71"/>
    </row>
    <row r="425" spans="1:10">
      <c r="A425" s="71"/>
      <c r="B425" s="72"/>
      <c r="C425" s="71"/>
      <c r="D425" s="71"/>
      <c r="E425" s="71"/>
      <c r="F425" s="71"/>
      <c r="G425" s="71"/>
      <c r="H425" s="71"/>
      <c r="I425" s="71"/>
      <c r="J425" s="71"/>
    </row>
    <row r="426" spans="1:10">
      <c r="A426" s="71"/>
      <c r="B426" s="72"/>
      <c r="C426" s="71"/>
      <c r="D426" s="71"/>
      <c r="E426" s="71"/>
      <c r="F426" s="71"/>
      <c r="G426" s="71"/>
      <c r="H426" s="71"/>
      <c r="I426" s="71"/>
      <c r="J426" s="71"/>
    </row>
    <row r="427" spans="1:10">
      <c r="A427" s="71"/>
      <c r="B427" s="72"/>
      <c r="C427" s="71"/>
      <c r="D427" s="71"/>
      <c r="E427" s="71"/>
      <c r="F427" s="71"/>
      <c r="G427" s="71"/>
      <c r="H427" s="71"/>
      <c r="I427" s="71"/>
      <c r="J427" s="71"/>
    </row>
    <row r="428" spans="1:10">
      <c r="A428" s="71"/>
      <c r="B428" s="72"/>
      <c r="C428" s="71"/>
      <c r="D428" s="71"/>
      <c r="E428" s="71"/>
      <c r="F428" s="71"/>
      <c r="G428" s="71"/>
      <c r="H428" s="71"/>
      <c r="I428" s="71"/>
      <c r="J428" s="71"/>
    </row>
    <row r="429" spans="1:10">
      <c r="A429" s="71"/>
      <c r="B429" s="72"/>
      <c r="C429" s="71"/>
      <c r="D429" s="71"/>
      <c r="E429" s="71"/>
      <c r="F429" s="71"/>
      <c r="G429" s="71"/>
      <c r="H429" s="71"/>
      <c r="I429" s="71"/>
      <c r="J429" s="71"/>
    </row>
    <row r="430" spans="1:10">
      <c r="A430" s="71"/>
      <c r="B430" s="72"/>
      <c r="C430" s="71"/>
      <c r="D430" s="71"/>
      <c r="E430" s="71"/>
      <c r="F430" s="71"/>
      <c r="G430" s="71"/>
      <c r="H430" s="71"/>
      <c r="I430" s="71"/>
      <c r="J430" s="71"/>
    </row>
    <row r="431" spans="1:10">
      <c r="A431" s="71"/>
      <c r="B431" s="72"/>
      <c r="C431" s="71"/>
      <c r="D431" s="71"/>
      <c r="E431" s="71"/>
      <c r="F431" s="71"/>
      <c r="G431" s="71"/>
      <c r="H431" s="71"/>
      <c r="I431" s="71"/>
      <c r="J431" s="71"/>
    </row>
    <row r="432" spans="1:10">
      <c r="A432" s="71"/>
      <c r="B432" s="72"/>
      <c r="C432" s="71"/>
      <c r="D432" s="71"/>
      <c r="E432" s="71"/>
      <c r="F432" s="71"/>
      <c r="G432" s="71"/>
      <c r="H432" s="71"/>
      <c r="I432" s="71"/>
      <c r="J432" s="71"/>
    </row>
    <row r="433" spans="1:10">
      <c r="A433" s="71"/>
      <c r="B433" s="72"/>
      <c r="C433" s="71"/>
      <c r="D433" s="71"/>
      <c r="E433" s="71"/>
      <c r="F433" s="71"/>
      <c r="G433" s="71"/>
      <c r="H433" s="71"/>
      <c r="I433" s="71"/>
      <c r="J433" s="71"/>
    </row>
    <row r="434" spans="1:10">
      <c r="A434" s="71"/>
      <c r="B434" s="72"/>
      <c r="C434" s="71"/>
      <c r="D434" s="71"/>
      <c r="E434" s="71"/>
      <c r="F434" s="71"/>
      <c r="G434" s="71"/>
      <c r="H434" s="71"/>
      <c r="I434" s="71"/>
      <c r="J434" s="71"/>
    </row>
    <row r="435" spans="1:10">
      <c r="A435" s="71"/>
      <c r="B435" s="72"/>
      <c r="C435" s="71"/>
      <c r="D435" s="71"/>
      <c r="E435" s="71"/>
      <c r="F435" s="71"/>
      <c r="G435" s="71"/>
      <c r="H435" s="71"/>
      <c r="I435" s="71"/>
      <c r="J435" s="71"/>
    </row>
    <row r="436" spans="1:10">
      <c r="A436" s="71"/>
      <c r="B436" s="72"/>
      <c r="C436" s="71"/>
      <c r="D436" s="71"/>
      <c r="E436" s="71"/>
      <c r="F436" s="71"/>
      <c r="G436" s="71"/>
      <c r="H436" s="71"/>
      <c r="I436" s="71"/>
      <c r="J436" s="71"/>
    </row>
    <row r="437" spans="1:10">
      <c r="A437" s="71"/>
      <c r="B437" s="72"/>
      <c r="C437" s="71"/>
      <c r="D437" s="71"/>
      <c r="E437" s="71"/>
      <c r="F437" s="71"/>
      <c r="G437" s="71"/>
      <c r="H437" s="71"/>
      <c r="I437" s="71"/>
      <c r="J437" s="71"/>
    </row>
    <row r="438" spans="1:10">
      <c r="A438" s="71"/>
      <c r="B438" s="72"/>
      <c r="C438" s="71"/>
      <c r="D438" s="71"/>
      <c r="E438" s="71"/>
      <c r="F438" s="71"/>
      <c r="G438" s="71"/>
      <c r="H438" s="71"/>
      <c r="I438" s="71"/>
      <c r="J438" s="71"/>
    </row>
    <row r="439" spans="1:10">
      <c r="A439" s="71"/>
      <c r="B439" s="72"/>
      <c r="C439" s="71"/>
      <c r="D439" s="71"/>
      <c r="E439" s="71"/>
      <c r="F439" s="71"/>
      <c r="G439" s="71"/>
      <c r="H439" s="71"/>
      <c r="I439" s="71"/>
      <c r="J439" s="71"/>
    </row>
    <row r="440" spans="1:10">
      <c r="A440" s="71"/>
      <c r="B440" s="72"/>
      <c r="C440" s="71"/>
      <c r="D440" s="71"/>
      <c r="E440" s="71"/>
      <c r="F440" s="71"/>
      <c r="G440" s="71"/>
      <c r="H440" s="71"/>
      <c r="I440" s="71"/>
      <c r="J440" s="71"/>
    </row>
    <row r="441" spans="1:10">
      <c r="A441" s="71"/>
      <c r="B441" s="72"/>
      <c r="C441" s="71"/>
      <c r="D441" s="71"/>
      <c r="E441" s="71"/>
      <c r="F441" s="71"/>
      <c r="G441" s="71"/>
      <c r="H441" s="71"/>
      <c r="I441" s="71"/>
      <c r="J441" s="71"/>
    </row>
    <row r="442" spans="1:10">
      <c r="A442" s="71"/>
      <c r="B442" s="72"/>
      <c r="C442" s="71"/>
      <c r="D442" s="71"/>
      <c r="E442" s="71"/>
      <c r="F442" s="71"/>
      <c r="G442" s="71"/>
      <c r="H442" s="71"/>
      <c r="I442" s="71"/>
      <c r="J442" s="71"/>
    </row>
    <row r="443" spans="1:10">
      <c r="A443" s="71"/>
      <c r="B443" s="72"/>
      <c r="C443" s="71"/>
      <c r="D443" s="71"/>
      <c r="E443" s="71"/>
      <c r="F443" s="71"/>
      <c r="G443" s="71"/>
      <c r="H443" s="71"/>
      <c r="I443" s="71"/>
      <c r="J443" s="71"/>
    </row>
    <row r="444" spans="1:10">
      <c r="A444" s="71"/>
      <c r="B444" s="72"/>
      <c r="C444" s="71"/>
      <c r="D444" s="71"/>
      <c r="E444" s="71"/>
      <c r="F444" s="71"/>
      <c r="G444" s="71"/>
      <c r="H444" s="71"/>
      <c r="I444" s="71"/>
      <c r="J444" s="71"/>
    </row>
    <row r="445" spans="1:10">
      <c r="A445" s="71"/>
      <c r="B445" s="72"/>
      <c r="C445" s="71"/>
      <c r="D445" s="71"/>
      <c r="E445" s="71"/>
      <c r="F445" s="71"/>
      <c r="G445" s="71"/>
      <c r="H445" s="71"/>
      <c r="I445" s="71"/>
      <c r="J445" s="71"/>
    </row>
    <row r="446" spans="1:10">
      <c r="A446" s="71"/>
      <c r="B446" s="72"/>
      <c r="C446" s="71"/>
      <c r="D446" s="71"/>
      <c r="E446" s="71"/>
      <c r="F446" s="71"/>
      <c r="G446" s="71"/>
      <c r="H446" s="71"/>
      <c r="I446" s="71"/>
      <c r="J446" s="71"/>
    </row>
    <row r="447" spans="1:10">
      <c r="A447" s="71"/>
      <c r="B447" s="72"/>
      <c r="C447" s="71"/>
      <c r="D447" s="71"/>
      <c r="E447" s="71"/>
      <c r="F447" s="71"/>
      <c r="G447" s="71"/>
      <c r="H447" s="71"/>
      <c r="I447" s="71"/>
      <c r="J447" s="71"/>
    </row>
    <row r="448" spans="1:10">
      <c r="A448" s="71"/>
      <c r="B448" s="72"/>
      <c r="C448" s="71"/>
      <c r="D448" s="71"/>
      <c r="E448" s="71"/>
      <c r="F448" s="71"/>
      <c r="G448" s="71"/>
      <c r="H448" s="71"/>
      <c r="I448" s="71"/>
      <c r="J448" s="71"/>
    </row>
    <row r="449" spans="1:10">
      <c r="A449" s="71"/>
      <c r="B449" s="72"/>
      <c r="C449" s="71"/>
      <c r="D449" s="71"/>
      <c r="E449" s="71"/>
      <c r="F449" s="71"/>
      <c r="G449" s="71"/>
      <c r="H449" s="71"/>
      <c r="I449" s="71"/>
      <c r="J449" s="71"/>
    </row>
    <row r="450" spans="1:10">
      <c r="A450" s="71"/>
      <c r="B450" s="72"/>
      <c r="C450" s="71"/>
      <c r="D450" s="71"/>
      <c r="E450" s="71"/>
      <c r="F450" s="71"/>
      <c r="G450" s="71"/>
      <c r="H450" s="71"/>
      <c r="I450" s="71"/>
      <c r="J450" s="71"/>
    </row>
    <row r="451" spans="1:10">
      <c r="A451" s="71"/>
      <c r="B451" s="72"/>
      <c r="C451" s="71"/>
      <c r="D451" s="71"/>
      <c r="E451" s="71"/>
      <c r="F451" s="71"/>
      <c r="G451" s="71"/>
      <c r="H451" s="71"/>
      <c r="I451" s="71"/>
      <c r="J451" s="71"/>
    </row>
    <row r="452" spans="1:10">
      <c r="A452" s="71"/>
      <c r="B452" s="72"/>
      <c r="C452" s="71"/>
      <c r="D452" s="71"/>
      <c r="E452" s="71"/>
      <c r="F452" s="71"/>
      <c r="G452" s="71"/>
      <c r="H452" s="71"/>
      <c r="I452" s="71"/>
      <c r="J452" s="71"/>
    </row>
    <row r="453" spans="1:10">
      <c r="A453" s="71"/>
      <c r="B453" s="72"/>
      <c r="C453" s="71"/>
      <c r="D453" s="71"/>
      <c r="E453" s="71"/>
      <c r="F453" s="71"/>
      <c r="G453" s="71"/>
      <c r="H453" s="71"/>
      <c r="I453" s="71"/>
      <c r="J453" s="71"/>
    </row>
    <row r="454" spans="1:10">
      <c r="A454" s="71"/>
      <c r="B454" s="72"/>
      <c r="C454" s="71"/>
      <c r="D454" s="71"/>
      <c r="E454" s="71"/>
      <c r="F454" s="71"/>
      <c r="G454" s="71"/>
      <c r="H454" s="71"/>
      <c r="I454" s="71"/>
      <c r="J454" s="71"/>
    </row>
    <row r="455" spans="1:10">
      <c r="A455" s="71"/>
      <c r="B455" s="72"/>
      <c r="C455" s="71"/>
      <c r="D455" s="71"/>
      <c r="E455" s="71"/>
      <c r="F455" s="71"/>
      <c r="G455" s="71"/>
      <c r="H455" s="71"/>
      <c r="I455" s="71"/>
      <c r="J455" s="71"/>
    </row>
    <row r="456" spans="1:10">
      <c r="A456" s="71"/>
      <c r="B456" s="72"/>
      <c r="C456" s="71"/>
      <c r="D456" s="71"/>
      <c r="E456" s="71"/>
      <c r="F456" s="71"/>
      <c r="G456" s="71"/>
      <c r="H456" s="71"/>
      <c r="I456" s="71"/>
      <c r="J456" s="71"/>
    </row>
    <row r="457" spans="1:10">
      <c r="A457" s="71"/>
      <c r="B457" s="72"/>
      <c r="C457" s="71"/>
      <c r="D457" s="71"/>
      <c r="E457" s="71"/>
      <c r="F457" s="71"/>
      <c r="G457" s="71"/>
      <c r="H457" s="71"/>
      <c r="I457" s="71"/>
      <c r="J457" s="71"/>
    </row>
    <row r="458" spans="1:10">
      <c r="A458" s="71"/>
      <c r="B458" s="72"/>
      <c r="C458" s="71"/>
      <c r="D458" s="71"/>
      <c r="E458" s="71"/>
      <c r="F458" s="71"/>
      <c r="G458" s="71"/>
      <c r="H458" s="71"/>
      <c r="I458" s="71"/>
      <c r="J458" s="71"/>
    </row>
    <row r="459" spans="1:10">
      <c r="A459" s="71"/>
      <c r="B459" s="72"/>
      <c r="C459" s="71"/>
      <c r="D459" s="71"/>
      <c r="E459" s="71"/>
      <c r="F459" s="71"/>
      <c r="G459" s="71"/>
      <c r="H459" s="71"/>
      <c r="I459" s="71"/>
      <c r="J459" s="71"/>
    </row>
    <row r="460" spans="1:10">
      <c r="A460" s="71"/>
      <c r="B460" s="72"/>
      <c r="C460" s="71"/>
      <c r="D460" s="71"/>
      <c r="E460" s="71"/>
      <c r="F460" s="71"/>
      <c r="G460" s="71"/>
      <c r="H460" s="71"/>
      <c r="I460" s="71"/>
      <c r="J460" s="71"/>
    </row>
    <row r="461" spans="1:10">
      <c r="A461" s="71"/>
      <c r="B461" s="72"/>
      <c r="C461" s="71"/>
      <c r="D461" s="71"/>
      <c r="E461" s="71"/>
      <c r="F461" s="71"/>
      <c r="G461" s="71"/>
      <c r="H461" s="71"/>
      <c r="I461" s="71"/>
      <c r="J461" s="71"/>
    </row>
    <row r="462" spans="1:10">
      <c r="A462" s="71"/>
      <c r="B462" s="72"/>
      <c r="C462" s="71"/>
      <c r="D462" s="71"/>
      <c r="E462" s="71"/>
      <c r="F462" s="71"/>
      <c r="G462" s="71"/>
      <c r="H462" s="71"/>
      <c r="I462" s="71"/>
      <c r="J462" s="71"/>
    </row>
    <row r="463" spans="1:10">
      <c r="A463" s="71"/>
      <c r="B463" s="72"/>
      <c r="C463" s="71"/>
      <c r="D463" s="71"/>
      <c r="E463" s="71"/>
      <c r="F463" s="71"/>
      <c r="G463" s="71"/>
      <c r="H463" s="71"/>
      <c r="I463" s="71"/>
      <c r="J463" s="71"/>
    </row>
    <row r="464" spans="1:10">
      <c r="A464" s="71"/>
      <c r="B464" s="72"/>
      <c r="C464" s="71"/>
      <c r="D464" s="71"/>
      <c r="E464" s="71"/>
      <c r="F464" s="71"/>
      <c r="G464" s="71"/>
      <c r="H464" s="71"/>
      <c r="I464" s="71"/>
      <c r="J464" s="71"/>
    </row>
    <row r="465" spans="1:10">
      <c r="A465" s="71"/>
      <c r="B465" s="72"/>
      <c r="C465" s="71"/>
      <c r="D465" s="71"/>
      <c r="E465" s="71"/>
      <c r="F465" s="71"/>
      <c r="G465" s="71"/>
      <c r="H465" s="71"/>
      <c r="I465" s="71"/>
      <c r="J465" s="71"/>
    </row>
    <row r="466" spans="1:10">
      <c r="A466" s="71"/>
      <c r="B466" s="72"/>
      <c r="C466" s="71"/>
      <c r="D466" s="71"/>
      <c r="E466" s="71"/>
      <c r="F466" s="71"/>
      <c r="G466" s="71"/>
      <c r="H466" s="71"/>
      <c r="I466" s="71"/>
      <c r="J466" s="71"/>
    </row>
    <row r="467" spans="1:10">
      <c r="A467" s="71"/>
      <c r="B467" s="72"/>
      <c r="C467" s="71"/>
      <c r="D467" s="71"/>
      <c r="E467" s="71"/>
      <c r="F467" s="71"/>
      <c r="G467" s="71"/>
      <c r="H467" s="71"/>
      <c r="I467" s="71"/>
      <c r="J467" s="71"/>
    </row>
    <row r="468" spans="1:10">
      <c r="A468" s="71"/>
      <c r="B468" s="72"/>
      <c r="C468" s="71"/>
      <c r="D468" s="71"/>
      <c r="E468" s="71"/>
      <c r="F468" s="71"/>
      <c r="G468" s="71"/>
      <c r="H468" s="71"/>
      <c r="I468" s="71"/>
      <c r="J468" s="71"/>
    </row>
    <row r="469" spans="1:10">
      <c r="A469" s="71"/>
      <c r="B469" s="72"/>
      <c r="C469" s="71"/>
      <c r="D469" s="71"/>
      <c r="E469" s="71"/>
      <c r="F469" s="71"/>
      <c r="G469" s="71"/>
      <c r="H469" s="71"/>
      <c r="I469" s="71"/>
      <c r="J469" s="71"/>
    </row>
    <row r="470" spans="1:10">
      <c r="A470" s="71"/>
      <c r="B470" s="72"/>
      <c r="C470" s="71"/>
      <c r="D470" s="71"/>
      <c r="E470" s="71"/>
      <c r="F470" s="71"/>
      <c r="G470" s="71"/>
      <c r="H470" s="71"/>
      <c r="I470" s="71"/>
      <c r="J470" s="71"/>
    </row>
    <row r="471" spans="1:10">
      <c r="A471" s="71"/>
      <c r="B471" s="72"/>
      <c r="C471" s="71"/>
      <c r="D471" s="71"/>
      <c r="E471" s="71"/>
      <c r="F471" s="71"/>
      <c r="G471" s="71"/>
      <c r="H471" s="71"/>
      <c r="I471" s="71"/>
      <c r="J471" s="71"/>
    </row>
    <row r="472" spans="1:10">
      <c r="A472" s="71"/>
      <c r="B472" s="72"/>
      <c r="C472" s="71"/>
      <c r="D472" s="71"/>
      <c r="E472" s="71"/>
      <c r="F472" s="71"/>
      <c r="G472" s="71"/>
      <c r="H472" s="71"/>
      <c r="I472" s="71"/>
      <c r="J472" s="71"/>
    </row>
    <row r="473" spans="1:10">
      <c r="A473" s="71"/>
      <c r="B473" s="72"/>
      <c r="C473" s="71"/>
      <c r="D473" s="71"/>
      <c r="E473" s="71"/>
      <c r="F473" s="71"/>
      <c r="G473" s="71"/>
      <c r="H473" s="71"/>
      <c r="I473" s="71"/>
      <c r="J473" s="71"/>
    </row>
    <row r="474" spans="1:10">
      <c r="A474" s="71"/>
      <c r="B474" s="72"/>
      <c r="C474" s="71"/>
      <c r="D474" s="71"/>
      <c r="E474" s="71"/>
      <c r="F474" s="71"/>
      <c r="G474" s="71"/>
      <c r="H474" s="71"/>
      <c r="I474" s="71"/>
      <c r="J474" s="71"/>
    </row>
    <row r="475" spans="1:10">
      <c r="A475" s="71"/>
      <c r="B475" s="72"/>
      <c r="C475" s="71"/>
      <c r="D475" s="71"/>
      <c r="E475" s="71"/>
      <c r="F475" s="71"/>
      <c r="G475" s="71"/>
      <c r="H475" s="71"/>
      <c r="I475" s="71"/>
      <c r="J475" s="71"/>
    </row>
    <row r="476" spans="1:10">
      <c r="A476" s="71"/>
      <c r="B476" s="72"/>
      <c r="C476" s="71"/>
      <c r="D476" s="71"/>
      <c r="E476" s="71"/>
      <c r="F476" s="71"/>
      <c r="G476" s="71"/>
      <c r="H476" s="71"/>
      <c r="I476" s="71"/>
      <c r="J476" s="71"/>
    </row>
    <row r="477" spans="1:10">
      <c r="A477" s="71"/>
      <c r="B477" s="72"/>
      <c r="C477" s="71"/>
      <c r="D477" s="71"/>
      <c r="E477" s="71"/>
      <c r="F477" s="71"/>
      <c r="G477" s="71"/>
      <c r="H477" s="71"/>
      <c r="I477" s="71"/>
      <c r="J477" s="71"/>
    </row>
    <row r="478" spans="1:10">
      <c r="A478" s="71"/>
      <c r="B478" s="72"/>
      <c r="C478" s="71"/>
      <c r="D478" s="71"/>
      <c r="E478" s="71"/>
      <c r="F478" s="71"/>
      <c r="G478" s="71"/>
      <c r="H478" s="71"/>
      <c r="I478" s="71"/>
      <c r="J478" s="71"/>
    </row>
    <row r="479" spans="1:10">
      <c r="A479" s="71"/>
      <c r="B479" s="72"/>
      <c r="C479" s="71"/>
      <c r="D479" s="71"/>
      <c r="E479" s="71"/>
      <c r="F479" s="71"/>
      <c r="G479" s="71"/>
      <c r="H479" s="71"/>
      <c r="I479" s="71"/>
      <c r="J479" s="71"/>
    </row>
    <row r="480" spans="1:10">
      <c r="A480" s="71"/>
      <c r="B480" s="72"/>
      <c r="C480" s="71"/>
      <c r="D480" s="71"/>
      <c r="E480" s="71"/>
      <c r="F480" s="71"/>
      <c r="G480" s="71"/>
      <c r="H480" s="71"/>
      <c r="I480" s="71"/>
      <c r="J480" s="71"/>
    </row>
    <row r="481" spans="1:10">
      <c r="A481" s="71"/>
      <c r="B481" s="72"/>
      <c r="C481" s="71"/>
      <c r="D481" s="71"/>
      <c r="E481" s="71"/>
      <c r="F481" s="71"/>
      <c r="G481" s="71"/>
      <c r="H481" s="71"/>
      <c r="I481" s="71"/>
      <c r="J481" s="71"/>
    </row>
    <row r="482" spans="1:10">
      <c r="A482" s="71"/>
      <c r="B482" s="72"/>
      <c r="C482" s="71"/>
      <c r="D482" s="71"/>
      <c r="E482" s="71"/>
      <c r="F482" s="71"/>
      <c r="G482" s="71"/>
      <c r="H482" s="71"/>
      <c r="I482" s="71"/>
      <c r="J482" s="71"/>
    </row>
    <row r="483" spans="1:10">
      <c r="A483" s="71"/>
      <c r="B483" s="72"/>
      <c r="C483" s="71"/>
      <c r="D483" s="71"/>
      <c r="E483" s="71"/>
      <c r="F483" s="71"/>
      <c r="G483" s="71"/>
      <c r="H483" s="71"/>
      <c r="I483" s="71"/>
      <c r="J483" s="71"/>
    </row>
    <row r="484" spans="1:10">
      <c r="A484" s="71"/>
      <c r="B484" s="72"/>
      <c r="C484" s="71"/>
      <c r="D484" s="71"/>
      <c r="E484" s="71"/>
      <c r="F484" s="71"/>
      <c r="G484" s="71"/>
      <c r="H484" s="71"/>
      <c r="I484" s="71"/>
      <c r="J484" s="71"/>
    </row>
    <row r="485" spans="1:10">
      <c r="A485" s="71"/>
      <c r="B485" s="72"/>
      <c r="C485" s="71"/>
      <c r="D485" s="71"/>
      <c r="E485" s="71"/>
      <c r="F485" s="71"/>
      <c r="G485" s="71"/>
      <c r="H485" s="71"/>
      <c r="I485" s="71"/>
      <c r="J485" s="71"/>
    </row>
    <row r="486" spans="1:10">
      <c r="A486" s="71"/>
      <c r="B486" s="72"/>
      <c r="C486" s="71"/>
      <c r="D486" s="71"/>
      <c r="E486" s="71"/>
      <c r="F486" s="71"/>
      <c r="G486" s="71"/>
      <c r="H486" s="71"/>
      <c r="I486" s="71"/>
      <c r="J486" s="71"/>
    </row>
    <row r="487" spans="1:10">
      <c r="A487" s="71"/>
      <c r="B487" s="72"/>
      <c r="C487" s="71"/>
      <c r="D487" s="71"/>
      <c r="E487" s="71"/>
      <c r="F487" s="71"/>
      <c r="G487" s="71"/>
      <c r="H487" s="71"/>
      <c r="I487" s="71"/>
      <c r="J487" s="71"/>
    </row>
    <row r="488" spans="1:10">
      <c r="A488" s="71"/>
      <c r="B488" s="72"/>
      <c r="C488" s="71"/>
      <c r="D488" s="71"/>
      <c r="E488" s="71"/>
      <c r="F488" s="71"/>
      <c r="G488" s="71"/>
      <c r="H488" s="71"/>
      <c r="I488" s="71"/>
      <c r="J488" s="71"/>
    </row>
    <row r="489" spans="1:10">
      <c r="A489" s="71"/>
      <c r="B489" s="72"/>
      <c r="C489" s="71"/>
      <c r="D489" s="71"/>
      <c r="E489" s="71"/>
      <c r="F489" s="71"/>
      <c r="G489" s="71"/>
      <c r="H489" s="71"/>
      <c r="I489" s="71"/>
      <c r="J489" s="71"/>
    </row>
    <row r="490" spans="1:10">
      <c r="A490" s="71"/>
      <c r="B490" s="72"/>
      <c r="C490" s="71"/>
      <c r="D490" s="71"/>
      <c r="E490" s="71"/>
      <c r="F490" s="71"/>
      <c r="G490" s="71"/>
      <c r="H490" s="71"/>
      <c r="I490" s="71"/>
      <c r="J490" s="71"/>
    </row>
    <row r="491" spans="1:10">
      <c r="A491" s="71"/>
      <c r="B491" s="72"/>
      <c r="C491" s="71"/>
      <c r="D491" s="71"/>
      <c r="E491" s="71"/>
      <c r="F491" s="71"/>
      <c r="G491" s="71"/>
      <c r="H491" s="71"/>
      <c r="I491" s="71"/>
      <c r="J491" s="71"/>
    </row>
    <row r="492" spans="1:10">
      <c r="A492" s="71"/>
      <c r="B492" s="72"/>
      <c r="C492" s="71"/>
      <c r="D492" s="71"/>
      <c r="E492" s="71"/>
      <c r="F492" s="71"/>
      <c r="G492" s="71"/>
      <c r="H492" s="71"/>
      <c r="I492" s="71"/>
      <c r="J492" s="71"/>
    </row>
    <row r="493" spans="1:10">
      <c r="A493" s="71"/>
      <c r="B493" s="72"/>
      <c r="C493" s="71"/>
      <c r="D493" s="71"/>
      <c r="E493" s="71"/>
      <c r="F493" s="71"/>
      <c r="G493" s="71"/>
      <c r="H493" s="71"/>
      <c r="I493" s="71"/>
      <c r="J493" s="71"/>
    </row>
    <row r="494" spans="1:10">
      <c r="A494" s="71"/>
      <c r="B494" s="72"/>
      <c r="C494" s="71"/>
      <c r="D494" s="71"/>
      <c r="E494" s="71"/>
      <c r="F494" s="71"/>
      <c r="G494" s="71"/>
      <c r="H494" s="71"/>
      <c r="I494" s="71"/>
      <c r="J494" s="71"/>
    </row>
    <row r="495" spans="1:10">
      <c r="A495" s="71"/>
      <c r="B495" s="72"/>
      <c r="C495" s="71"/>
      <c r="D495" s="71"/>
      <c r="E495" s="71"/>
      <c r="F495" s="71"/>
      <c r="G495" s="71"/>
      <c r="H495" s="71"/>
      <c r="I495" s="71"/>
      <c r="J495" s="71"/>
    </row>
    <row r="496" spans="1:10">
      <c r="A496" s="71"/>
      <c r="B496" s="72"/>
      <c r="C496" s="71"/>
      <c r="D496" s="71"/>
      <c r="E496" s="71"/>
      <c r="F496" s="71"/>
      <c r="G496" s="71"/>
      <c r="H496" s="71"/>
      <c r="I496" s="71"/>
      <c r="J496" s="71"/>
    </row>
    <row r="497" spans="1:10">
      <c r="A497" s="71"/>
      <c r="B497" s="72"/>
      <c r="C497" s="71"/>
      <c r="D497" s="71"/>
      <c r="E497" s="71"/>
      <c r="F497" s="71"/>
      <c r="G497" s="71"/>
      <c r="H497" s="71"/>
      <c r="I497" s="71"/>
      <c r="J497" s="71"/>
    </row>
    <row r="498" spans="1:10">
      <c r="A498" s="71"/>
      <c r="B498" s="72"/>
      <c r="C498" s="71"/>
      <c r="D498" s="71"/>
      <c r="E498" s="71"/>
      <c r="F498" s="71"/>
      <c r="G498" s="71"/>
      <c r="H498" s="71"/>
      <c r="I498" s="71"/>
      <c r="J498" s="71"/>
    </row>
    <row r="499" spans="1:10">
      <c r="A499" s="71"/>
      <c r="B499" s="72"/>
      <c r="C499" s="71"/>
      <c r="D499" s="71"/>
      <c r="E499" s="71"/>
      <c r="F499" s="71"/>
      <c r="G499" s="71"/>
      <c r="H499" s="71"/>
      <c r="I499" s="71"/>
      <c r="J499" s="71"/>
    </row>
    <row r="500" spans="1:10">
      <c r="A500" s="71"/>
      <c r="B500" s="72"/>
      <c r="C500" s="71"/>
      <c r="D500" s="71"/>
      <c r="E500" s="71"/>
      <c r="F500" s="71"/>
      <c r="G500" s="71"/>
      <c r="H500" s="71"/>
      <c r="I500" s="71"/>
      <c r="J500" s="71"/>
    </row>
    <row r="501" spans="1:10">
      <c r="A501" s="71"/>
      <c r="B501" s="72"/>
      <c r="C501" s="71"/>
      <c r="D501" s="71"/>
      <c r="E501" s="71"/>
      <c r="F501" s="71"/>
      <c r="G501" s="71"/>
      <c r="H501" s="71"/>
      <c r="I501" s="71"/>
      <c r="J501" s="71"/>
    </row>
    <row r="502" spans="1:10">
      <c r="A502" s="71"/>
      <c r="B502" s="72"/>
      <c r="C502" s="71"/>
      <c r="D502" s="71"/>
      <c r="E502" s="71"/>
      <c r="F502" s="71"/>
      <c r="G502" s="71"/>
      <c r="H502" s="71"/>
      <c r="I502" s="71"/>
      <c r="J502" s="71"/>
    </row>
    <row r="503" spans="1:10">
      <c r="A503" s="71"/>
      <c r="B503" s="72"/>
      <c r="C503" s="71"/>
      <c r="D503" s="71"/>
      <c r="E503" s="71"/>
      <c r="F503" s="71"/>
      <c r="G503" s="71"/>
      <c r="H503" s="71"/>
      <c r="I503" s="71"/>
      <c r="J503" s="71"/>
    </row>
    <row r="504" spans="1:10">
      <c r="A504" s="71"/>
      <c r="B504" s="72"/>
      <c r="C504" s="71"/>
      <c r="D504" s="71"/>
      <c r="E504" s="71"/>
      <c r="F504" s="71"/>
      <c r="G504" s="71"/>
      <c r="H504" s="71"/>
      <c r="I504" s="71"/>
      <c r="J504" s="71"/>
    </row>
    <row r="505" spans="1:10">
      <c r="A505" s="71"/>
      <c r="B505" s="72"/>
      <c r="C505" s="71"/>
      <c r="D505" s="71"/>
      <c r="E505" s="71"/>
      <c r="F505" s="71"/>
      <c r="G505" s="71"/>
      <c r="H505" s="71"/>
      <c r="I505" s="71"/>
      <c r="J505" s="71"/>
    </row>
    <row r="506" spans="1:10">
      <c r="A506" s="71"/>
      <c r="B506" s="72"/>
      <c r="C506" s="71"/>
      <c r="D506" s="71"/>
      <c r="E506" s="71"/>
      <c r="F506" s="71"/>
      <c r="G506" s="71"/>
      <c r="H506" s="71"/>
      <c r="I506" s="71"/>
      <c r="J506" s="71"/>
    </row>
    <row r="507" spans="1:10">
      <c r="A507" s="71"/>
      <c r="B507" s="72"/>
      <c r="C507" s="71"/>
      <c r="D507" s="71"/>
      <c r="E507" s="71"/>
      <c r="F507" s="71"/>
      <c r="G507" s="71"/>
      <c r="H507" s="71"/>
      <c r="I507" s="71"/>
      <c r="J507" s="71"/>
    </row>
    <row r="508" spans="1:10">
      <c r="A508" s="71"/>
      <c r="B508" s="72"/>
      <c r="C508" s="71"/>
      <c r="D508" s="71"/>
      <c r="E508" s="71"/>
      <c r="F508" s="71"/>
      <c r="G508" s="71"/>
      <c r="H508" s="71"/>
      <c r="I508" s="71"/>
      <c r="J508" s="71"/>
    </row>
    <row r="509" spans="1:10">
      <c r="A509" s="71"/>
      <c r="B509" s="72"/>
      <c r="C509" s="71"/>
      <c r="D509" s="71"/>
      <c r="E509" s="71"/>
      <c r="F509" s="71"/>
      <c r="G509" s="71"/>
      <c r="H509" s="71"/>
      <c r="I509" s="71"/>
      <c r="J509" s="71"/>
    </row>
    <row r="510" spans="1:10">
      <c r="A510" s="71"/>
      <c r="B510" s="72"/>
      <c r="C510" s="71"/>
      <c r="D510" s="71"/>
      <c r="E510" s="71"/>
      <c r="F510" s="71"/>
      <c r="G510" s="71"/>
      <c r="H510" s="71"/>
      <c r="I510" s="71"/>
      <c r="J510" s="71"/>
    </row>
    <row r="511" spans="1:10">
      <c r="A511" s="71"/>
      <c r="B511" s="72"/>
      <c r="C511" s="71"/>
      <c r="D511" s="71"/>
      <c r="E511" s="71"/>
      <c r="F511" s="71"/>
      <c r="G511" s="71"/>
      <c r="H511" s="71"/>
      <c r="I511" s="71"/>
      <c r="J511" s="71"/>
    </row>
    <row r="512" spans="1:10">
      <c r="A512" s="71"/>
      <c r="B512" s="72"/>
      <c r="C512" s="71"/>
      <c r="D512" s="71"/>
      <c r="E512" s="71"/>
      <c r="F512" s="71"/>
      <c r="G512" s="71"/>
      <c r="H512" s="71"/>
      <c r="I512" s="71"/>
      <c r="J512" s="71"/>
    </row>
    <row r="513" spans="1:10">
      <c r="A513" s="71"/>
      <c r="B513" s="72"/>
      <c r="C513" s="71"/>
      <c r="D513" s="71"/>
      <c r="E513" s="71"/>
      <c r="F513" s="71"/>
      <c r="G513" s="71"/>
      <c r="H513" s="71"/>
      <c r="I513" s="71"/>
      <c r="J513" s="71"/>
    </row>
    <row r="514" spans="1:10">
      <c r="A514" s="71"/>
      <c r="B514" s="72"/>
      <c r="C514" s="71"/>
      <c r="D514" s="71"/>
      <c r="E514" s="71"/>
      <c r="F514" s="71"/>
      <c r="G514" s="71"/>
      <c r="H514" s="71"/>
      <c r="I514" s="71"/>
      <c r="J514" s="71"/>
    </row>
    <row r="515" spans="1:10">
      <c r="A515" s="71"/>
      <c r="B515" s="72"/>
      <c r="C515" s="71"/>
      <c r="D515" s="71"/>
      <c r="E515" s="71"/>
      <c r="F515" s="71"/>
      <c r="G515" s="71"/>
      <c r="H515" s="71"/>
      <c r="I515" s="71"/>
      <c r="J515" s="71"/>
    </row>
    <row r="516" spans="1:10">
      <c r="A516" s="71"/>
      <c r="B516" s="72"/>
      <c r="C516" s="71"/>
      <c r="D516" s="71"/>
      <c r="E516" s="71"/>
      <c r="F516" s="71"/>
      <c r="G516" s="71"/>
      <c r="H516" s="71"/>
      <c r="I516" s="71"/>
      <c r="J516" s="71"/>
    </row>
    <row r="517" spans="1:10">
      <c r="A517" s="71"/>
      <c r="B517" s="72"/>
      <c r="C517" s="71"/>
      <c r="D517" s="71"/>
      <c r="E517" s="71"/>
      <c r="F517" s="71"/>
      <c r="G517" s="71"/>
      <c r="H517" s="71"/>
      <c r="I517" s="71"/>
      <c r="J517" s="71"/>
    </row>
    <row r="518" spans="1:10">
      <c r="A518" s="71"/>
      <c r="B518" s="72"/>
      <c r="C518" s="71"/>
      <c r="D518" s="71"/>
      <c r="E518" s="71"/>
      <c r="F518" s="71"/>
      <c r="G518" s="71"/>
      <c r="H518" s="71"/>
      <c r="I518" s="71"/>
      <c r="J518" s="71"/>
    </row>
    <row r="519" spans="1:10">
      <c r="A519" s="71"/>
      <c r="B519" s="72"/>
      <c r="C519" s="71"/>
      <c r="D519" s="71"/>
      <c r="E519" s="71"/>
      <c r="F519" s="71"/>
      <c r="G519" s="71"/>
      <c r="H519" s="71"/>
      <c r="I519" s="71"/>
      <c r="J519" s="71"/>
    </row>
    <row r="520" spans="1:10">
      <c r="A520" s="71"/>
      <c r="B520" s="72"/>
      <c r="C520" s="71"/>
      <c r="D520" s="71"/>
      <c r="E520" s="71"/>
      <c r="F520" s="71"/>
      <c r="G520" s="71"/>
      <c r="H520" s="71"/>
      <c r="I520" s="71"/>
      <c r="J520" s="71"/>
    </row>
    <row r="521" spans="1:10">
      <c r="A521" s="71"/>
      <c r="B521" s="72"/>
      <c r="C521" s="71"/>
      <c r="D521" s="71"/>
      <c r="E521" s="71"/>
      <c r="F521" s="71"/>
      <c r="G521" s="71"/>
      <c r="H521" s="71"/>
      <c r="I521" s="71"/>
      <c r="J521" s="71"/>
    </row>
    <row r="522" spans="1:10">
      <c r="A522" s="71"/>
      <c r="B522" s="72"/>
      <c r="C522" s="71"/>
      <c r="D522" s="71"/>
      <c r="E522" s="71"/>
      <c r="F522" s="71"/>
      <c r="G522" s="71"/>
      <c r="H522" s="71"/>
      <c r="I522" s="71"/>
      <c r="J522" s="71"/>
    </row>
    <row r="523" spans="1:10">
      <c r="A523" s="71"/>
      <c r="B523" s="72"/>
      <c r="C523" s="71"/>
      <c r="D523" s="71"/>
      <c r="E523" s="71"/>
      <c r="F523" s="71"/>
      <c r="G523" s="71"/>
      <c r="H523" s="71"/>
      <c r="I523" s="71"/>
      <c r="J523" s="71"/>
    </row>
    <row r="524" spans="1:10">
      <c r="A524" s="71"/>
      <c r="B524" s="72"/>
      <c r="C524" s="71"/>
      <c r="D524" s="71"/>
      <c r="E524" s="71"/>
      <c r="F524" s="71"/>
      <c r="G524" s="71"/>
      <c r="H524" s="71"/>
      <c r="I524" s="71"/>
      <c r="J524" s="71"/>
    </row>
    <row r="525" spans="1:10">
      <c r="A525" s="71"/>
      <c r="B525" s="72"/>
      <c r="C525" s="71"/>
      <c r="D525" s="71"/>
      <c r="E525" s="71"/>
      <c r="F525" s="71"/>
      <c r="G525" s="71"/>
      <c r="H525" s="71"/>
      <c r="I525" s="71"/>
      <c r="J525" s="71"/>
    </row>
    <row r="526" spans="1:10">
      <c r="A526" s="71"/>
      <c r="B526" s="72"/>
      <c r="C526" s="71"/>
      <c r="D526" s="71"/>
      <c r="E526" s="71"/>
      <c r="F526" s="71"/>
      <c r="G526" s="71"/>
      <c r="H526" s="71"/>
      <c r="I526" s="71"/>
      <c r="J526" s="71"/>
    </row>
    <row r="527" spans="1:10">
      <c r="A527" s="71"/>
      <c r="B527" s="72"/>
      <c r="C527" s="71"/>
      <c r="D527" s="71"/>
      <c r="E527" s="71"/>
      <c r="F527" s="71"/>
      <c r="G527" s="71"/>
      <c r="H527" s="71"/>
      <c r="I527" s="71"/>
      <c r="J527" s="71"/>
    </row>
    <row r="528" spans="1:10">
      <c r="A528" s="71"/>
      <c r="B528" s="72"/>
      <c r="C528" s="71"/>
      <c r="D528" s="71"/>
      <c r="E528" s="71"/>
      <c r="F528" s="71"/>
      <c r="G528" s="71"/>
      <c r="H528" s="71"/>
      <c r="I528" s="71"/>
      <c r="J528" s="71"/>
    </row>
    <row r="529" spans="1:10">
      <c r="A529" s="71"/>
      <c r="B529" s="72"/>
      <c r="C529" s="71"/>
      <c r="D529" s="71"/>
      <c r="E529" s="71"/>
      <c r="F529" s="71"/>
      <c r="G529" s="71"/>
      <c r="H529" s="71"/>
      <c r="I529" s="71"/>
      <c r="J529" s="71"/>
    </row>
    <row r="530" spans="1:10">
      <c r="A530" s="71"/>
      <c r="B530" s="72"/>
      <c r="C530" s="71"/>
      <c r="D530" s="71"/>
      <c r="E530" s="71"/>
      <c r="F530" s="71"/>
      <c r="G530" s="71"/>
      <c r="H530" s="71"/>
      <c r="I530" s="71"/>
      <c r="J530" s="71"/>
    </row>
    <row r="531" spans="1:10">
      <c r="A531" s="71"/>
      <c r="B531" s="72"/>
      <c r="C531" s="71"/>
      <c r="D531" s="71"/>
      <c r="E531" s="71"/>
      <c r="F531" s="71"/>
      <c r="G531" s="71"/>
      <c r="H531" s="71"/>
      <c r="I531" s="71"/>
      <c r="J531" s="71"/>
    </row>
    <row r="532" spans="1:10">
      <c r="A532" s="71"/>
      <c r="B532" s="72"/>
      <c r="C532" s="71"/>
      <c r="D532" s="71"/>
      <c r="E532" s="71"/>
      <c r="F532" s="71"/>
      <c r="G532" s="71"/>
      <c r="H532" s="71"/>
      <c r="I532" s="71"/>
      <c r="J532" s="71"/>
    </row>
    <row r="533" spans="1:10">
      <c r="A533" s="71"/>
      <c r="B533" s="72"/>
      <c r="C533" s="71"/>
      <c r="D533" s="71"/>
      <c r="E533" s="71"/>
      <c r="F533" s="71"/>
      <c r="G533" s="71"/>
      <c r="H533" s="71"/>
      <c r="I533" s="71"/>
      <c r="J533" s="71"/>
    </row>
    <row r="534" spans="1:10">
      <c r="A534" s="71"/>
      <c r="B534" s="72"/>
      <c r="C534" s="71"/>
      <c r="D534" s="71"/>
      <c r="E534" s="71"/>
      <c r="F534" s="71"/>
      <c r="G534" s="71"/>
      <c r="H534" s="71"/>
      <c r="I534" s="71"/>
      <c r="J534" s="71"/>
    </row>
    <row r="535" spans="1:10">
      <c r="A535" s="71"/>
      <c r="B535" s="72"/>
      <c r="C535" s="71"/>
      <c r="D535" s="71"/>
      <c r="E535" s="71"/>
      <c r="F535" s="71"/>
      <c r="G535" s="71"/>
      <c r="H535" s="71"/>
      <c r="I535" s="71"/>
      <c r="J535" s="71"/>
    </row>
    <row r="536" spans="1:10">
      <c r="A536" s="71"/>
      <c r="B536" s="72"/>
      <c r="C536" s="71"/>
      <c r="D536" s="71"/>
      <c r="E536" s="71"/>
      <c r="F536" s="71"/>
      <c r="G536" s="71"/>
      <c r="H536" s="71"/>
      <c r="I536" s="71"/>
      <c r="J536" s="71"/>
    </row>
    <row r="537" spans="1:10">
      <c r="A537" s="71"/>
      <c r="B537" s="72"/>
      <c r="C537" s="71"/>
      <c r="D537" s="71"/>
      <c r="E537" s="71"/>
      <c r="F537" s="71"/>
      <c r="G537" s="71"/>
      <c r="H537" s="71"/>
      <c r="I537" s="71"/>
      <c r="J537" s="71"/>
    </row>
    <row r="538" spans="1:10">
      <c r="A538" s="71"/>
      <c r="B538" s="72"/>
      <c r="C538" s="71"/>
      <c r="D538" s="71"/>
      <c r="E538" s="71"/>
      <c r="F538" s="71"/>
      <c r="G538" s="71"/>
      <c r="H538" s="71"/>
      <c r="I538" s="71"/>
      <c r="J538" s="71"/>
    </row>
    <row r="539" spans="1:10">
      <c r="A539" s="71"/>
      <c r="B539" s="72"/>
      <c r="C539" s="71"/>
      <c r="D539" s="71"/>
      <c r="E539" s="71"/>
      <c r="F539" s="71"/>
      <c r="G539" s="71"/>
      <c r="H539" s="71"/>
      <c r="I539" s="71"/>
      <c r="J539" s="71"/>
    </row>
    <row r="540" spans="1:10">
      <c r="A540" s="71"/>
      <c r="B540" s="72"/>
      <c r="C540" s="71"/>
      <c r="D540" s="71"/>
      <c r="E540" s="71"/>
      <c r="F540" s="71"/>
      <c r="G540" s="71"/>
      <c r="H540" s="71"/>
      <c r="I540" s="71"/>
      <c r="J540" s="71"/>
    </row>
    <row r="541" spans="1:10">
      <c r="A541" s="71"/>
      <c r="B541" s="72"/>
      <c r="C541" s="71"/>
      <c r="D541" s="71"/>
      <c r="E541" s="71"/>
      <c r="F541" s="71"/>
      <c r="G541" s="71"/>
      <c r="H541" s="71"/>
      <c r="I541" s="71"/>
      <c r="J541" s="71"/>
    </row>
    <row r="542" spans="1:10">
      <c r="A542" s="71"/>
      <c r="B542" s="72"/>
      <c r="C542" s="71"/>
      <c r="D542" s="71"/>
      <c r="E542" s="71"/>
      <c r="F542" s="71"/>
      <c r="G542" s="71"/>
      <c r="H542" s="71"/>
      <c r="I542" s="71"/>
      <c r="J542" s="71"/>
    </row>
    <row r="543" spans="1:10">
      <c r="A543" s="71"/>
      <c r="B543" s="72"/>
      <c r="C543" s="71"/>
      <c r="D543" s="71"/>
      <c r="E543" s="71"/>
      <c r="F543" s="71"/>
      <c r="G543" s="71"/>
      <c r="H543" s="71"/>
      <c r="I543" s="71"/>
      <c r="J543" s="71"/>
    </row>
    <row r="544" spans="1:10">
      <c r="A544" s="71"/>
      <c r="B544" s="72"/>
      <c r="C544" s="71"/>
      <c r="D544" s="71"/>
      <c r="E544" s="71"/>
      <c r="F544" s="71"/>
      <c r="G544" s="71"/>
      <c r="H544" s="71"/>
      <c r="I544" s="71"/>
      <c r="J544" s="71"/>
    </row>
    <row r="545" spans="1:10">
      <c r="A545" s="71"/>
      <c r="B545" s="72"/>
      <c r="C545" s="71"/>
      <c r="D545" s="71"/>
      <c r="E545" s="71"/>
      <c r="F545" s="71"/>
      <c r="G545" s="71"/>
      <c r="H545" s="71"/>
      <c r="I545" s="71"/>
      <c r="J545" s="71"/>
    </row>
    <row r="546" spans="1:10">
      <c r="A546" s="71"/>
      <c r="B546" s="72"/>
      <c r="C546" s="71"/>
      <c r="D546" s="71"/>
      <c r="E546" s="71"/>
      <c r="F546" s="71"/>
      <c r="G546" s="71"/>
      <c r="H546" s="71"/>
      <c r="I546" s="71"/>
      <c r="J546" s="71"/>
    </row>
    <row r="547" spans="1:10">
      <c r="A547" s="71"/>
      <c r="B547" s="72"/>
      <c r="C547" s="71"/>
      <c r="D547" s="71"/>
      <c r="E547" s="71"/>
      <c r="F547" s="71"/>
      <c r="G547" s="71"/>
      <c r="H547" s="71"/>
      <c r="I547" s="71"/>
      <c r="J547" s="71"/>
    </row>
    <row r="548" spans="1:10">
      <c r="A548" s="71"/>
      <c r="B548" s="72"/>
      <c r="C548" s="71"/>
      <c r="D548" s="71"/>
      <c r="E548" s="71"/>
      <c r="F548" s="71"/>
      <c r="G548" s="71"/>
      <c r="H548" s="71"/>
      <c r="I548" s="71"/>
      <c r="J548" s="71"/>
    </row>
    <row r="549" spans="1:10">
      <c r="A549" s="71"/>
      <c r="B549" s="72"/>
      <c r="C549" s="71"/>
      <c r="D549" s="71"/>
      <c r="E549" s="71"/>
      <c r="F549" s="71"/>
      <c r="G549" s="71"/>
      <c r="H549" s="71"/>
      <c r="I549" s="71"/>
      <c r="J549" s="71"/>
    </row>
    <row r="550" spans="1:10">
      <c r="A550" s="71"/>
      <c r="B550" s="72"/>
      <c r="C550" s="71"/>
      <c r="D550" s="71"/>
      <c r="E550" s="71"/>
      <c r="F550" s="71"/>
      <c r="G550" s="71"/>
      <c r="H550" s="71"/>
      <c r="I550" s="71"/>
      <c r="J550" s="71"/>
    </row>
    <row r="551" spans="1:10">
      <c r="A551" s="71"/>
      <c r="B551" s="72"/>
      <c r="C551" s="71"/>
      <c r="D551" s="71"/>
      <c r="E551" s="71"/>
      <c r="F551" s="71"/>
      <c r="G551" s="71"/>
      <c r="H551" s="71"/>
      <c r="I551" s="71"/>
      <c r="J551" s="71"/>
    </row>
    <row r="552" spans="1:10">
      <c r="A552" s="71"/>
      <c r="B552" s="72"/>
      <c r="C552" s="71"/>
      <c r="D552" s="71"/>
      <c r="E552" s="71"/>
      <c r="F552" s="71"/>
      <c r="G552" s="71"/>
      <c r="H552" s="71"/>
      <c r="I552" s="71"/>
      <c r="J552" s="71"/>
    </row>
    <row r="553" spans="1:10">
      <c r="A553" s="71"/>
      <c r="B553" s="72"/>
      <c r="C553" s="71"/>
      <c r="D553" s="71"/>
      <c r="E553" s="71"/>
      <c r="F553" s="71"/>
      <c r="G553" s="71"/>
      <c r="H553" s="71"/>
      <c r="I553" s="71"/>
      <c r="J553" s="71"/>
    </row>
    <row r="554" spans="1:10">
      <c r="A554" s="71"/>
      <c r="B554" s="72"/>
      <c r="C554" s="71"/>
      <c r="D554" s="71"/>
      <c r="E554" s="71"/>
      <c r="F554" s="71"/>
      <c r="G554" s="71"/>
      <c r="H554" s="71"/>
      <c r="I554" s="71"/>
      <c r="J554" s="71"/>
    </row>
    <row r="555" spans="1:10">
      <c r="A555" s="71"/>
      <c r="B555" s="72"/>
      <c r="C555" s="71"/>
      <c r="D555" s="71"/>
      <c r="E555" s="71"/>
      <c r="F555" s="71"/>
      <c r="G555" s="71"/>
      <c r="H555" s="71"/>
      <c r="I555" s="71"/>
      <c r="J555" s="71"/>
    </row>
    <row r="556" spans="1:10">
      <c r="A556" s="71"/>
      <c r="B556" s="72"/>
      <c r="C556" s="71"/>
      <c r="D556" s="71"/>
      <c r="E556" s="71"/>
      <c r="F556" s="71"/>
      <c r="G556" s="71"/>
      <c r="H556" s="71"/>
      <c r="I556" s="71"/>
      <c r="J556" s="71"/>
    </row>
    <row r="557" spans="1:10">
      <c r="A557" s="71"/>
      <c r="B557" s="72"/>
      <c r="C557" s="71"/>
      <c r="D557" s="71"/>
      <c r="E557" s="71"/>
      <c r="F557" s="71"/>
      <c r="G557" s="71"/>
      <c r="H557" s="71"/>
      <c r="I557" s="71"/>
      <c r="J557" s="71"/>
    </row>
    <row r="558" spans="1:10">
      <c r="A558" s="71"/>
      <c r="B558" s="72"/>
      <c r="C558" s="71"/>
      <c r="D558" s="71"/>
      <c r="E558" s="71"/>
      <c r="F558" s="71"/>
      <c r="G558" s="71"/>
      <c r="H558" s="71"/>
      <c r="I558" s="71"/>
      <c r="J558" s="71"/>
    </row>
    <row r="559" spans="1:10">
      <c r="A559" s="71"/>
      <c r="B559" s="72"/>
      <c r="C559" s="71"/>
      <c r="D559" s="71"/>
      <c r="E559" s="71"/>
      <c r="F559" s="71"/>
      <c r="G559" s="71"/>
      <c r="H559" s="71"/>
      <c r="I559" s="71"/>
      <c r="J559" s="71"/>
    </row>
    <row r="560" spans="1:10">
      <c r="A560" s="71"/>
      <c r="B560" s="72"/>
      <c r="C560" s="71"/>
      <c r="D560" s="71"/>
      <c r="E560" s="71"/>
      <c r="F560" s="71"/>
      <c r="G560" s="71"/>
      <c r="H560" s="71"/>
      <c r="I560" s="71"/>
      <c r="J560" s="71"/>
    </row>
    <row r="561" spans="1:10">
      <c r="A561" s="71"/>
      <c r="B561" s="72"/>
      <c r="C561" s="71"/>
      <c r="D561" s="71"/>
      <c r="E561" s="71"/>
      <c r="F561" s="71"/>
      <c r="G561" s="71"/>
      <c r="H561" s="71"/>
      <c r="I561" s="71"/>
      <c r="J561" s="71"/>
    </row>
    <row r="562" spans="1:10">
      <c r="A562" s="71"/>
      <c r="B562" s="72"/>
      <c r="C562" s="71"/>
      <c r="D562" s="71"/>
      <c r="E562" s="71"/>
      <c r="F562" s="71"/>
      <c r="G562" s="71"/>
      <c r="H562" s="71"/>
      <c r="I562" s="71"/>
      <c r="J562" s="71"/>
    </row>
    <row r="563" spans="1:10">
      <c r="A563" s="71"/>
      <c r="B563" s="72"/>
      <c r="C563" s="71"/>
      <c r="D563" s="71"/>
      <c r="E563" s="71"/>
      <c r="F563" s="71"/>
      <c r="G563" s="71"/>
      <c r="H563" s="71"/>
      <c r="I563" s="71"/>
      <c r="J563" s="71"/>
    </row>
    <row r="564" spans="1:10">
      <c r="A564" s="71"/>
      <c r="B564" s="72"/>
      <c r="C564" s="71"/>
      <c r="D564" s="71"/>
      <c r="E564" s="71"/>
      <c r="F564" s="71"/>
      <c r="G564" s="71"/>
      <c r="H564" s="71"/>
      <c r="I564" s="71"/>
      <c r="J564" s="71"/>
    </row>
    <row r="565" spans="1:10">
      <c r="A565" s="71"/>
      <c r="B565" s="72"/>
      <c r="C565" s="71"/>
      <c r="D565" s="71"/>
      <c r="E565" s="71"/>
      <c r="F565" s="71"/>
      <c r="G565" s="71"/>
      <c r="H565" s="71"/>
      <c r="I565" s="71"/>
      <c r="J565" s="71"/>
    </row>
    <row r="566" spans="1:10">
      <c r="A566" s="71"/>
      <c r="B566" s="72"/>
      <c r="C566" s="71"/>
      <c r="D566" s="71"/>
      <c r="E566" s="71"/>
      <c r="F566" s="71"/>
      <c r="G566" s="71"/>
      <c r="H566" s="71"/>
      <c r="I566" s="71"/>
      <c r="J566" s="71"/>
    </row>
    <row r="567" spans="1:10">
      <c r="A567" s="71"/>
      <c r="B567" s="72"/>
      <c r="C567" s="71"/>
      <c r="D567" s="71"/>
      <c r="E567" s="71"/>
      <c r="F567" s="71"/>
      <c r="G567" s="71"/>
      <c r="H567" s="71"/>
      <c r="I567" s="71"/>
      <c r="J567" s="71"/>
    </row>
    <row r="568" spans="1:10">
      <c r="A568" s="71"/>
      <c r="B568" s="72"/>
      <c r="C568" s="71"/>
      <c r="D568" s="71"/>
      <c r="E568" s="71"/>
      <c r="F568" s="71"/>
      <c r="G568" s="71"/>
      <c r="H568" s="71"/>
      <c r="I568" s="71"/>
      <c r="J568" s="71"/>
    </row>
    <row r="569" spans="1:10">
      <c r="A569" s="71"/>
      <c r="B569" s="72"/>
      <c r="C569" s="71"/>
      <c r="D569" s="71"/>
      <c r="E569" s="71"/>
      <c r="F569" s="71"/>
      <c r="G569" s="71"/>
      <c r="H569" s="71"/>
      <c r="I569" s="71"/>
      <c r="J569" s="71"/>
    </row>
    <row r="570" spans="1:10">
      <c r="A570" s="71"/>
      <c r="B570" s="72"/>
      <c r="C570" s="71"/>
      <c r="D570" s="71"/>
      <c r="E570" s="71"/>
      <c r="F570" s="71"/>
      <c r="G570" s="71"/>
      <c r="H570" s="71"/>
      <c r="I570" s="71"/>
      <c r="J570" s="71"/>
    </row>
    <row r="571" spans="1:10">
      <c r="A571" s="71"/>
      <c r="B571" s="72"/>
      <c r="C571" s="71"/>
      <c r="D571" s="71"/>
      <c r="E571" s="71"/>
      <c r="F571" s="71"/>
      <c r="G571" s="71"/>
      <c r="H571" s="71"/>
      <c r="I571" s="71"/>
      <c r="J571" s="71"/>
    </row>
    <row r="572" spans="1:10">
      <c r="A572" s="71"/>
      <c r="B572" s="72"/>
      <c r="C572" s="71"/>
      <c r="D572" s="71"/>
      <c r="E572" s="71"/>
      <c r="F572" s="71"/>
      <c r="G572" s="71"/>
      <c r="H572" s="71"/>
      <c r="I572" s="71"/>
      <c r="J572" s="71"/>
    </row>
    <row r="573" spans="1:10">
      <c r="A573" s="71"/>
      <c r="B573" s="72"/>
      <c r="C573" s="71"/>
      <c r="D573" s="71"/>
      <c r="E573" s="71"/>
      <c r="F573" s="71"/>
      <c r="G573" s="71"/>
      <c r="H573" s="71"/>
      <c r="I573" s="71"/>
      <c r="J573" s="71"/>
    </row>
    <row r="574" spans="1:10">
      <c r="A574" s="71"/>
      <c r="B574" s="72"/>
      <c r="C574" s="71"/>
      <c r="D574" s="71"/>
      <c r="E574" s="71"/>
      <c r="F574" s="71"/>
      <c r="G574" s="71"/>
      <c r="H574" s="71"/>
      <c r="I574" s="71"/>
      <c r="J574" s="71"/>
    </row>
    <row r="575" spans="1:10">
      <c r="A575" s="71"/>
      <c r="B575" s="72"/>
      <c r="C575" s="71"/>
      <c r="D575" s="71"/>
      <c r="E575" s="71"/>
      <c r="F575" s="71"/>
      <c r="G575" s="71"/>
      <c r="H575" s="71"/>
      <c r="I575" s="71"/>
      <c r="J575" s="71"/>
    </row>
    <row r="576" spans="1:10">
      <c r="A576" s="71"/>
      <c r="B576" s="72"/>
      <c r="C576" s="71"/>
      <c r="D576" s="71"/>
      <c r="E576" s="71"/>
      <c r="F576" s="71"/>
      <c r="G576" s="71"/>
      <c r="H576" s="71"/>
      <c r="I576" s="71"/>
      <c r="J576" s="71"/>
    </row>
    <row r="577" spans="1:10">
      <c r="A577" s="71"/>
      <c r="B577" s="72"/>
      <c r="C577" s="71"/>
      <c r="D577" s="71"/>
      <c r="E577" s="71"/>
      <c r="F577" s="71"/>
      <c r="G577" s="71"/>
      <c r="H577" s="71"/>
      <c r="I577" s="71"/>
      <c r="J577" s="71"/>
    </row>
    <row r="578" spans="1:10">
      <c r="A578" s="71"/>
      <c r="B578" s="72"/>
      <c r="C578" s="71"/>
      <c r="D578" s="71"/>
      <c r="E578" s="71"/>
      <c r="F578" s="71"/>
      <c r="G578" s="71"/>
      <c r="H578" s="71"/>
      <c r="I578" s="71"/>
      <c r="J578" s="71"/>
    </row>
    <row r="579" spans="1:10">
      <c r="A579" s="71"/>
      <c r="B579" s="72"/>
      <c r="C579" s="71"/>
      <c r="D579" s="71"/>
      <c r="E579" s="71"/>
      <c r="F579" s="71"/>
      <c r="G579" s="71"/>
      <c r="H579" s="71"/>
      <c r="I579" s="71"/>
      <c r="J579" s="71"/>
    </row>
    <row r="580" spans="1:10">
      <c r="A580" s="71"/>
      <c r="B580" s="72"/>
      <c r="C580" s="71"/>
      <c r="D580" s="71"/>
      <c r="E580" s="71"/>
      <c r="F580" s="71"/>
      <c r="G580" s="71"/>
      <c r="H580" s="71"/>
      <c r="I580" s="71"/>
      <c r="J580" s="71"/>
    </row>
    <row r="581" spans="1:10">
      <c r="A581" s="71"/>
      <c r="B581" s="72"/>
      <c r="C581" s="71"/>
      <c r="D581" s="71"/>
      <c r="E581" s="71"/>
      <c r="F581" s="71"/>
      <c r="G581" s="71"/>
      <c r="H581" s="71"/>
      <c r="I581" s="71"/>
      <c r="J581" s="71"/>
    </row>
    <row r="582" spans="1:10">
      <c r="A582" s="71"/>
      <c r="B582" s="72"/>
      <c r="C582" s="71"/>
      <c r="D582" s="71"/>
      <c r="E582" s="71"/>
      <c r="F582" s="71"/>
      <c r="G582" s="71"/>
      <c r="H582" s="71"/>
      <c r="I582" s="71"/>
      <c r="J582" s="71"/>
    </row>
    <row r="583" spans="1:10">
      <c r="A583" s="71"/>
      <c r="B583" s="72"/>
      <c r="C583" s="71"/>
      <c r="D583" s="71"/>
      <c r="E583" s="71"/>
      <c r="F583" s="71"/>
      <c r="G583" s="71"/>
      <c r="H583" s="71"/>
      <c r="I583" s="71"/>
      <c r="J583" s="71"/>
    </row>
    <row r="584" spans="1:10">
      <c r="A584" s="71"/>
      <c r="B584" s="72"/>
      <c r="C584" s="71"/>
      <c r="D584" s="71"/>
      <c r="E584" s="71"/>
      <c r="F584" s="71"/>
      <c r="G584" s="71"/>
      <c r="H584" s="71"/>
      <c r="I584" s="71"/>
      <c r="J584" s="71"/>
    </row>
    <row r="585" spans="1:10">
      <c r="A585" s="71"/>
      <c r="B585" s="72"/>
      <c r="C585" s="71"/>
      <c r="D585" s="71"/>
      <c r="E585" s="71"/>
      <c r="F585" s="71"/>
      <c r="G585" s="71"/>
      <c r="H585" s="71"/>
      <c r="I585" s="71"/>
      <c r="J585" s="71"/>
    </row>
    <row r="586" spans="1:10">
      <c r="A586" s="71"/>
      <c r="B586" s="72"/>
      <c r="C586" s="71"/>
      <c r="D586" s="71"/>
      <c r="E586" s="71"/>
      <c r="F586" s="71"/>
      <c r="G586" s="71"/>
      <c r="H586" s="71"/>
      <c r="I586" s="71"/>
      <c r="J586" s="71"/>
    </row>
    <row r="587" spans="1:10">
      <c r="A587" s="71"/>
      <c r="B587" s="72"/>
      <c r="C587" s="71"/>
      <c r="D587" s="71"/>
      <c r="E587" s="71"/>
      <c r="F587" s="71"/>
      <c r="G587" s="71"/>
      <c r="H587" s="71"/>
      <c r="I587" s="71"/>
      <c r="J587" s="71"/>
    </row>
    <row r="588" spans="1:10">
      <c r="A588" s="71"/>
      <c r="B588" s="72"/>
      <c r="C588" s="71"/>
      <c r="D588" s="71"/>
      <c r="E588" s="71"/>
      <c r="F588" s="71"/>
      <c r="G588" s="71"/>
      <c r="H588" s="71"/>
      <c r="I588" s="71"/>
      <c r="J588" s="71"/>
    </row>
    <row r="589" spans="1:10">
      <c r="A589" s="71"/>
      <c r="B589" s="72"/>
      <c r="C589" s="71"/>
      <c r="D589" s="71"/>
      <c r="E589" s="71"/>
      <c r="F589" s="71"/>
      <c r="G589" s="71"/>
      <c r="H589" s="71"/>
      <c r="I589" s="71"/>
      <c r="J589" s="71"/>
    </row>
    <row r="590" spans="1:10">
      <c r="A590" s="71"/>
      <c r="B590" s="72"/>
      <c r="C590" s="71"/>
      <c r="D590" s="71"/>
      <c r="E590" s="71"/>
      <c r="F590" s="71"/>
      <c r="G590" s="71"/>
      <c r="H590" s="71"/>
      <c r="I590" s="71"/>
      <c r="J590" s="71"/>
    </row>
    <row r="591" spans="1:10">
      <c r="A591" s="71"/>
      <c r="B591" s="72"/>
      <c r="C591" s="71"/>
      <c r="D591" s="71"/>
      <c r="E591" s="71"/>
      <c r="F591" s="71"/>
      <c r="G591" s="71"/>
      <c r="H591" s="71"/>
      <c r="I591" s="71"/>
      <c r="J591" s="71"/>
    </row>
    <row r="592" spans="1:10">
      <c r="A592" s="71"/>
      <c r="B592" s="72"/>
      <c r="C592" s="71"/>
      <c r="D592" s="71"/>
      <c r="E592" s="71"/>
      <c r="F592" s="71"/>
      <c r="G592" s="71"/>
      <c r="H592" s="71"/>
      <c r="I592" s="71"/>
      <c r="J592" s="71"/>
    </row>
    <row r="593" spans="1:10">
      <c r="A593" s="71"/>
      <c r="B593" s="72"/>
      <c r="C593" s="71"/>
      <c r="D593" s="71"/>
      <c r="E593" s="71"/>
      <c r="F593" s="71"/>
      <c r="G593" s="71"/>
      <c r="H593" s="71"/>
      <c r="I593" s="71"/>
      <c r="J593" s="71"/>
    </row>
    <row r="594" spans="1:10">
      <c r="A594" s="71"/>
      <c r="B594" s="72"/>
      <c r="C594" s="71"/>
      <c r="D594" s="71"/>
      <c r="E594" s="71"/>
      <c r="F594" s="71"/>
      <c r="G594" s="71"/>
      <c r="H594" s="71"/>
      <c r="I594" s="71"/>
      <c r="J594" s="71"/>
    </row>
    <row r="595" spans="1:10">
      <c r="A595" s="71"/>
      <c r="B595" s="72"/>
      <c r="C595" s="71"/>
      <c r="D595" s="71"/>
      <c r="E595" s="71"/>
      <c r="F595" s="71"/>
      <c r="G595" s="71"/>
      <c r="H595" s="71"/>
      <c r="I595" s="71"/>
      <c r="J595" s="71"/>
    </row>
    <row r="596" spans="1:10">
      <c r="A596" s="71"/>
      <c r="B596" s="72"/>
      <c r="C596" s="71"/>
      <c r="D596" s="71"/>
      <c r="E596" s="71"/>
      <c r="F596" s="71"/>
      <c r="G596" s="71"/>
      <c r="H596" s="71"/>
      <c r="I596" s="71"/>
      <c r="J596" s="71"/>
    </row>
    <row r="597" spans="1:10">
      <c r="A597" s="71"/>
      <c r="B597" s="72"/>
      <c r="C597" s="71"/>
      <c r="D597" s="71"/>
      <c r="E597" s="71"/>
      <c r="F597" s="71"/>
      <c r="G597" s="71"/>
      <c r="H597" s="71"/>
      <c r="I597" s="71"/>
      <c r="J597" s="71"/>
    </row>
    <row r="598" spans="1:10">
      <c r="A598" s="71"/>
      <c r="B598" s="72"/>
      <c r="C598" s="71"/>
      <c r="D598" s="71"/>
      <c r="E598" s="71"/>
      <c r="F598" s="71"/>
      <c r="G598" s="71"/>
      <c r="H598" s="71"/>
      <c r="I598" s="71"/>
      <c r="J598" s="71"/>
    </row>
    <row r="599" spans="1:10">
      <c r="A599" s="71"/>
      <c r="B599" s="72"/>
      <c r="C599" s="71"/>
      <c r="D599" s="71"/>
      <c r="E599" s="71"/>
      <c r="F599" s="71"/>
      <c r="G599" s="71"/>
      <c r="H599" s="71"/>
      <c r="I599" s="71"/>
      <c r="J599" s="71"/>
    </row>
    <row r="600" spans="1:10">
      <c r="A600" s="71"/>
      <c r="B600" s="72"/>
      <c r="C600" s="71"/>
      <c r="D600" s="71"/>
      <c r="E600" s="71"/>
      <c r="F600" s="71"/>
      <c r="G600" s="71"/>
      <c r="H600" s="71"/>
      <c r="I600" s="71"/>
      <c r="J600" s="71"/>
    </row>
    <row r="601" spans="1:10">
      <c r="A601" s="71"/>
      <c r="B601" s="72"/>
      <c r="C601" s="71"/>
      <c r="D601" s="71"/>
      <c r="E601" s="71"/>
      <c r="F601" s="71"/>
      <c r="G601" s="71"/>
      <c r="H601" s="71"/>
      <c r="I601" s="71"/>
      <c r="J601" s="71"/>
    </row>
    <row r="602" spans="1:10">
      <c r="A602" s="71"/>
      <c r="B602" s="72"/>
      <c r="C602" s="71"/>
      <c r="D602" s="71"/>
      <c r="E602" s="71"/>
      <c r="F602" s="71"/>
      <c r="G602" s="71"/>
      <c r="H602" s="71"/>
      <c r="I602" s="71"/>
      <c r="J602" s="71"/>
    </row>
    <row r="603" spans="1:10">
      <c r="A603" s="71"/>
      <c r="B603" s="72"/>
      <c r="C603" s="71"/>
      <c r="D603" s="71"/>
      <c r="E603" s="71"/>
      <c r="F603" s="71"/>
      <c r="G603" s="71"/>
      <c r="H603" s="71"/>
      <c r="I603" s="71"/>
      <c r="J603" s="71"/>
    </row>
    <row r="604" spans="1:10">
      <c r="A604" s="71"/>
      <c r="B604" s="72"/>
      <c r="C604" s="71"/>
      <c r="D604" s="71"/>
      <c r="E604" s="71"/>
      <c r="F604" s="71"/>
      <c r="G604" s="71"/>
      <c r="H604" s="71"/>
      <c r="I604" s="71"/>
      <c r="J604" s="71"/>
    </row>
    <row r="605" spans="1:10">
      <c r="A605" s="71"/>
      <c r="B605" s="72"/>
      <c r="C605" s="71"/>
      <c r="D605" s="71"/>
      <c r="E605" s="71"/>
      <c r="F605" s="71"/>
      <c r="G605" s="71"/>
      <c r="H605" s="71"/>
      <c r="I605" s="71"/>
      <c r="J605" s="71"/>
    </row>
    <row r="606" spans="1:10">
      <c r="A606" s="71"/>
      <c r="B606" s="72"/>
      <c r="C606" s="71"/>
      <c r="D606" s="71"/>
      <c r="E606" s="71"/>
      <c r="F606" s="71"/>
      <c r="G606" s="71"/>
      <c r="H606" s="71"/>
      <c r="I606" s="71"/>
      <c r="J606" s="71"/>
    </row>
    <row r="607" spans="1:10">
      <c r="A607" s="71"/>
      <c r="B607" s="72"/>
      <c r="C607" s="71"/>
      <c r="D607" s="71"/>
      <c r="E607" s="71"/>
      <c r="F607" s="71"/>
      <c r="G607" s="71"/>
      <c r="H607" s="71"/>
      <c r="I607" s="71"/>
      <c r="J607" s="71"/>
    </row>
    <row r="608" spans="1:10">
      <c r="A608" s="71"/>
      <c r="B608" s="72"/>
      <c r="C608" s="71"/>
      <c r="D608" s="71"/>
      <c r="E608" s="71"/>
      <c r="F608" s="71"/>
      <c r="G608" s="71"/>
      <c r="H608" s="71"/>
      <c r="I608" s="71"/>
      <c r="J608" s="71"/>
    </row>
    <row r="609" spans="1:10">
      <c r="A609" s="71"/>
      <c r="B609" s="72"/>
      <c r="C609" s="71"/>
      <c r="D609" s="71"/>
      <c r="E609" s="71"/>
      <c r="F609" s="71"/>
      <c r="G609" s="71"/>
      <c r="H609" s="71"/>
      <c r="I609" s="71"/>
      <c r="J609" s="71"/>
    </row>
    <row r="610" spans="1:10">
      <c r="A610" s="71"/>
      <c r="B610" s="72"/>
      <c r="C610" s="71"/>
      <c r="D610" s="71"/>
      <c r="E610" s="71"/>
      <c r="F610" s="71"/>
      <c r="G610" s="71"/>
      <c r="H610" s="71"/>
      <c r="I610" s="71"/>
      <c r="J610" s="71"/>
    </row>
    <row r="611" spans="1:10">
      <c r="A611" s="71"/>
      <c r="B611" s="72"/>
      <c r="C611" s="71"/>
      <c r="D611" s="71"/>
      <c r="E611" s="71"/>
      <c r="F611" s="71"/>
      <c r="G611" s="71"/>
      <c r="H611" s="71"/>
      <c r="I611" s="71"/>
      <c r="J611" s="71"/>
    </row>
    <row r="612" spans="1:10">
      <c r="A612" s="71"/>
      <c r="B612" s="72"/>
      <c r="C612" s="71"/>
      <c r="D612" s="71"/>
      <c r="E612" s="71"/>
      <c r="F612" s="71"/>
      <c r="G612" s="71"/>
      <c r="H612" s="71"/>
      <c r="I612" s="71"/>
      <c r="J612" s="71"/>
    </row>
    <row r="613" spans="1:10">
      <c r="A613" s="71"/>
      <c r="B613" s="72"/>
      <c r="C613" s="71"/>
      <c r="D613" s="71"/>
      <c r="E613" s="71"/>
      <c r="F613" s="71"/>
      <c r="G613" s="71"/>
      <c r="H613" s="71"/>
      <c r="I613" s="71"/>
      <c r="J613" s="71"/>
    </row>
    <row r="614" spans="1:10">
      <c r="A614" s="71"/>
      <c r="B614" s="72"/>
      <c r="C614" s="71"/>
      <c r="D614" s="71"/>
      <c r="E614" s="71"/>
      <c r="F614" s="71"/>
      <c r="G614" s="71"/>
      <c r="H614" s="71"/>
      <c r="I614" s="71"/>
      <c r="J614" s="71"/>
    </row>
    <row r="615" spans="1:10">
      <c r="A615" s="71"/>
      <c r="B615" s="72"/>
      <c r="C615" s="71"/>
      <c r="D615" s="71"/>
      <c r="E615" s="71"/>
      <c r="F615" s="71"/>
      <c r="G615" s="71"/>
      <c r="H615" s="71"/>
      <c r="I615" s="71"/>
      <c r="J615" s="71"/>
    </row>
    <row r="616" spans="1:10">
      <c r="A616" s="71"/>
      <c r="B616" s="72"/>
      <c r="C616" s="71"/>
      <c r="D616" s="71"/>
      <c r="E616" s="71"/>
      <c r="F616" s="71"/>
      <c r="G616" s="71"/>
      <c r="H616" s="71"/>
      <c r="I616" s="71"/>
      <c r="J616" s="71"/>
    </row>
    <row r="617" spans="1:10">
      <c r="A617" s="71"/>
      <c r="B617" s="72"/>
      <c r="C617" s="71"/>
      <c r="D617" s="71"/>
      <c r="E617" s="71"/>
      <c r="F617" s="71"/>
      <c r="G617" s="71"/>
      <c r="H617" s="71"/>
      <c r="I617" s="71"/>
      <c r="J617" s="71"/>
    </row>
    <row r="618" spans="1:10">
      <c r="A618" s="71"/>
      <c r="B618" s="72"/>
      <c r="C618" s="71"/>
      <c r="D618" s="71"/>
      <c r="E618" s="71"/>
      <c r="F618" s="71"/>
      <c r="G618" s="71"/>
      <c r="H618" s="71"/>
      <c r="I618" s="71"/>
      <c r="J618" s="71"/>
    </row>
    <row r="619" spans="1:10">
      <c r="A619" s="71"/>
      <c r="B619" s="72"/>
      <c r="C619" s="71"/>
      <c r="D619" s="71"/>
      <c r="E619" s="71"/>
      <c r="F619" s="71"/>
      <c r="G619" s="71"/>
      <c r="H619" s="71"/>
      <c r="I619" s="71"/>
      <c r="J619" s="71"/>
    </row>
    <row r="620" spans="1:10">
      <c r="A620" s="71"/>
      <c r="B620" s="72"/>
      <c r="C620" s="71"/>
      <c r="D620" s="71"/>
      <c r="E620" s="71"/>
      <c r="F620" s="71"/>
      <c r="G620" s="71"/>
      <c r="H620" s="71"/>
      <c r="I620" s="71"/>
      <c r="J620" s="71"/>
    </row>
    <row r="621" spans="1:10">
      <c r="A621" s="71"/>
      <c r="B621" s="72"/>
      <c r="C621" s="71"/>
      <c r="D621" s="71"/>
      <c r="E621" s="71"/>
      <c r="F621" s="71"/>
      <c r="G621" s="71"/>
      <c r="H621" s="71"/>
      <c r="I621" s="71"/>
      <c r="J621" s="71"/>
    </row>
    <row r="622" spans="1:10">
      <c r="A622" s="71"/>
      <c r="B622" s="72"/>
      <c r="C622" s="71"/>
      <c r="D622" s="71"/>
      <c r="E622" s="71"/>
      <c r="F622" s="71"/>
      <c r="G622" s="71"/>
      <c r="H622" s="71"/>
      <c r="I622" s="71"/>
      <c r="J622" s="71"/>
    </row>
    <row r="623" spans="1:10">
      <c r="A623" s="71"/>
      <c r="B623" s="72"/>
      <c r="C623" s="71"/>
      <c r="D623" s="71"/>
      <c r="E623" s="71"/>
      <c r="F623" s="71"/>
      <c r="G623" s="71"/>
      <c r="H623" s="71"/>
      <c r="I623" s="71"/>
      <c r="J623" s="71"/>
    </row>
    <row r="624" spans="1:10">
      <c r="A624" s="71"/>
      <c r="B624" s="72"/>
      <c r="C624" s="71"/>
      <c r="D624" s="71"/>
      <c r="E624" s="71"/>
      <c r="F624" s="71"/>
      <c r="G624" s="71"/>
      <c r="H624" s="71"/>
      <c r="I624" s="71"/>
      <c r="J624" s="71"/>
    </row>
    <row r="625" spans="1:10">
      <c r="A625" s="71"/>
      <c r="B625" s="72"/>
      <c r="C625" s="71"/>
      <c r="D625" s="71"/>
      <c r="E625" s="71"/>
      <c r="F625" s="71"/>
      <c r="G625" s="71"/>
      <c r="H625" s="71"/>
      <c r="I625" s="71"/>
      <c r="J625" s="71"/>
    </row>
    <row r="626" spans="1:10">
      <c r="A626" s="71"/>
      <c r="B626" s="72"/>
      <c r="C626" s="71"/>
      <c r="D626" s="71"/>
      <c r="E626" s="71"/>
      <c r="F626" s="71"/>
      <c r="G626" s="71"/>
      <c r="H626" s="71"/>
      <c r="I626" s="71"/>
      <c r="J626" s="71"/>
    </row>
    <row r="627" spans="1:10">
      <c r="A627" s="71"/>
      <c r="B627" s="72"/>
      <c r="C627" s="71"/>
      <c r="D627" s="71"/>
      <c r="E627" s="71"/>
      <c r="F627" s="71"/>
      <c r="G627" s="71"/>
      <c r="H627" s="71"/>
      <c r="I627" s="71"/>
      <c r="J627" s="71"/>
    </row>
    <row r="628" spans="1:10">
      <c r="A628" s="71"/>
      <c r="B628" s="72"/>
      <c r="C628" s="71"/>
      <c r="D628" s="71"/>
      <c r="E628" s="71"/>
      <c r="F628" s="71"/>
      <c r="G628" s="71"/>
      <c r="H628" s="71"/>
      <c r="I628" s="71"/>
      <c r="J628" s="71"/>
    </row>
    <row r="629" spans="1:10">
      <c r="A629" s="71"/>
      <c r="B629" s="72"/>
      <c r="C629" s="71"/>
      <c r="D629" s="71"/>
      <c r="E629" s="71"/>
      <c r="F629" s="71"/>
      <c r="G629" s="71"/>
      <c r="H629" s="71"/>
      <c r="I629" s="71"/>
      <c r="J629" s="71"/>
    </row>
    <row r="630" spans="1:10">
      <c r="A630" s="71"/>
      <c r="B630" s="72"/>
      <c r="C630" s="71"/>
      <c r="D630" s="71"/>
      <c r="E630" s="71"/>
      <c r="F630" s="71"/>
      <c r="G630" s="71"/>
      <c r="H630" s="71"/>
      <c r="I630" s="71"/>
      <c r="J630" s="71"/>
    </row>
    <row r="631" spans="1:10">
      <c r="A631" s="71"/>
      <c r="B631" s="72"/>
      <c r="C631" s="71"/>
      <c r="D631" s="71"/>
      <c r="E631" s="71"/>
      <c r="F631" s="71"/>
      <c r="G631" s="71"/>
      <c r="H631" s="71"/>
      <c r="I631" s="71"/>
      <c r="J631" s="71"/>
    </row>
    <row r="632" spans="1:10">
      <c r="A632" s="71"/>
      <c r="B632" s="72"/>
      <c r="C632" s="71"/>
      <c r="D632" s="71"/>
      <c r="E632" s="71"/>
      <c r="F632" s="71"/>
      <c r="G632" s="71"/>
      <c r="H632" s="71"/>
      <c r="I632" s="71"/>
      <c r="J632" s="71"/>
    </row>
    <row r="633" spans="1:10">
      <c r="A633" s="71"/>
      <c r="B633" s="72"/>
      <c r="C633" s="71"/>
      <c r="D633" s="71"/>
      <c r="E633" s="71"/>
      <c r="F633" s="71"/>
      <c r="G633" s="71"/>
      <c r="H633" s="71"/>
      <c r="I633" s="71"/>
      <c r="J633" s="71"/>
    </row>
    <row r="634" spans="1:10">
      <c r="A634" s="71"/>
      <c r="B634" s="72"/>
      <c r="C634" s="71"/>
      <c r="D634" s="71"/>
      <c r="E634" s="71"/>
      <c r="F634" s="71"/>
      <c r="G634" s="71"/>
      <c r="H634" s="71"/>
      <c r="I634" s="71"/>
      <c r="J634" s="71"/>
    </row>
    <row r="635" spans="1:10">
      <c r="A635" s="71"/>
      <c r="B635" s="72"/>
      <c r="C635" s="71"/>
      <c r="D635" s="71"/>
      <c r="E635" s="71"/>
      <c r="F635" s="71"/>
      <c r="G635" s="71"/>
      <c r="H635" s="71"/>
      <c r="I635" s="71"/>
      <c r="J635" s="71"/>
    </row>
    <row r="636" spans="1:10">
      <c r="A636" s="71"/>
      <c r="B636" s="72"/>
      <c r="C636" s="71"/>
      <c r="D636" s="71"/>
      <c r="E636" s="71"/>
      <c r="F636" s="71"/>
      <c r="G636" s="71"/>
      <c r="H636" s="71"/>
      <c r="I636" s="71"/>
      <c r="J636" s="71"/>
    </row>
    <row r="637" spans="1:10">
      <c r="A637" s="71"/>
      <c r="B637" s="72"/>
      <c r="C637" s="71"/>
      <c r="D637" s="71"/>
      <c r="E637" s="71"/>
      <c r="F637" s="71"/>
      <c r="G637" s="71"/>
      <c r="H637" s="71"/>
      <c r="I637" s="71"/>
      <c r="J637" s="71"/>
    </row>
    <row r="638" spans="1:10">
      <c r="A638" s="71"/>
      <c r="B638" s="72"/>
      <c r="C638" s="71"/>
      <c r="D638" s="71"/>
      <c r="E638" s="71"/>
      <c r="F638" s="71"/>
      <c r="G638" s="71"/>
      <c r="H638" s="71"/>
      <c r="I638" s="71"/>
      <c r="J638" s="71"/>
    </row>
    <row r="639" spans="1:10">
      <c r="A639" s="71"/>
      <c r="B639" s="72"/>
      <c r="C639" s="71"/>
      <c r="D639" s="71"/>
      <c r="E639" s="71"/>
      <c r="F639" s="71"/>
      <c r="G639" s="71"/>
      <c r="H639" s="71"/>
      <c r="I639" s="71"/>
      <c r="J639" s="71"/>
    </row>
    <row r="640" spans="1:10">
      <c r="A640" s="71"/>
      <c r="B640" s="72"/>
      <c r="C640" s="71"/>
      <c r="D640" s="71"/>
      <c r="E640" s="71"/>
      <c r="F640" s="71"/>
      <c r="G640" s="71"/>
      <c r="H640" s="71"/>
      <c r="I640" s="71"/>
      <c r="J640" s="71"/>
    </row>
    <row r="641" spans="1:10">
      <c r="A641" s="71"/>
      <c r="B641" s="72"/>
      <c r="C641" s="71"/>
      <c r="D641" s="71"/>
      <c r="E641" s="71"/>
      <c r="F641" s="71"/>
      <c r="G641" s="71"/>
      <c r="H641" s="71"/>
      <c r="I641" s="71"/>
      <c r="J641" s="71"/>
    </row>
    <row r="642" spans="1:10">
      <c r="A642" s="71"/>
      <c r="B642" s="72"/>
      <c r="C642" s="71"/>
      <c r="D642" s="71"/>
      <c r="E642" s="71"/>
      <c r="F642" s="71"/>
      <c r="G642" s="71"/>
      <c r="H642" s="71"/>
      <c r="I642" s="71"/>
      <c r="J642" s="71"/>
    </row>
    <row r="643" spans="1:10">
      <c r="A643" s="71"/>
      <c r="B643" s="72"/>
      <c r="C643" s="71"/>
      <c r="D643" s="71"/>
      <c r="E643" s="71"/>
      <c r="F643" s="71"/>
      <c r="G643" s="71"/>
      <c r="H643" s="71"/>
      <c r="I643" s="71"/>
      <c r="J643" s="71"/>
    </row>
    <row r="644" spans="1:10">
      <c r="A644" s="71"/>
      <c r="B644" s="72"/>
      <c r="C644" s="71"/>
      <c r="D644" s="71"/>
      <c r="E644" s="71"/>
      <c r="F644" s="71"/>
      <c r="G644" s="71"/>
      <c r="H644" s="71"/>
      <c r="I644" s="71"/>
      <c r="J644" s="71"/>
    </row>
    <row r="645" spans="1:10">
      <c r="A645" s="71"/>
      <c r="B645" s="72"/>
      <c r="C645" s="71"/>
      <c r="D645" s="71"/>
      <c r="E645" s="71"/>
      <c r="F645" s="71"/>
      <c r="G645" s="71"/>
      <c r="H645" s="71"/>
      <c r="I645" s="71"/>
      <c r="J645" s="71"/>
    </row>
    <row r="646" spans="1:10">
      <c r="A646" s="71"/>
      <c r="B646" s="72"/>
      <c r="C646" s="71"/>
      <c r="D646" s="71"/>
      <c r="E646" s="71"/>
      <c r="F646" s="71"/>
      <c r="G646" s="71"/>
      <c r="H646" s="71"/>
      <c r="I646" s="71"/>
      <c r="J646" s="71"/>
    </row>
    <row r="647" spans="1:10">
      <c r="A647" s="71"/>
      <c r="B647" s="72"/>
      <c r="C647" s="71"/>
      <c r="D647" s="71"/>
      <c r="E647" s="71"/>
      <c r="F647" s="71"/>
      <c r="G647" s="71"/>
      <c r="H647" s="71"/>
      <c r="I647" s="71"/>
      <c r="J647" s="71"/>
    </row>
    <row r="648" spans="1:10">
      <c r="A648" s="71"/>
      <c r="B648" s="72"/>
      <c r="C648" s="71"/>
      <c r="D648" s="71"/>
      <c r="E648" s="71"/>
      <c r="F648" s="71"/>
      <c r="G648" s="71"/>
      <c r="H648" s="71"/>
      <c r="I648" s="71"/>
      <c r="J648" s="71"/>
    </row>
    <row r="649" spans="1:10">
      <c r="A649" s="71"/>
      <c r="B649" s="72"/>
      <c r="C649" s="71"/>
      <c r="D649" s="71"/>
      <c r="E649" s="71"/>
      <c r="F649" s="71"/>
      <c r="G649" s="71"/>
      <c r="H649" s="71"/>
      <c r="I649" s="71"/>
      <c r="J649" s="71"/>
    </row>
    <row r="650" spans="1:10">
      <c r="A650" s="71"/>
      <c r="B650" s="72"/>
      <c r="C650" s="71"/>
      <c r="D650" s="71"/>
      <c r="E650" s="71"/>
      <c r="F650" s="71"/>
      <c r="G650" s="71"/>
      <c r="H650" s="71"/>
      <c r="I650" s="71"/>
      <c r="J650" s="71"/>
    </row>
    <row r="651" spans="1:10">
      <c r="A651" s="71"/>
      <c r="B651" s="72"/>
      <c r="C651" s="71"/>
      <c r="D651" s="71"/>
      <c r="E651" s="71"/>
      <c r="F651" s="71"/>
      <c r="G651" s="71"/>
      <c r="H651" s="71"/>
      <c r="I651" s="71"/>
      <c r="J651" s="71"/>
    </row>
    <row r="652" spans="1:10">
      <c r="A652" s="71"/>
      <c r="B652" s="72"/>
      <c r="C652" s="71"/>
      <c r="D652" s="71"/>
      <c r="E652" s="71"/>
      <c r="F652" s="71"/>
      <c r="G652" s="71"/>
      <c r="H652" s="71"/>
      <c r="I652" s="71"/>
      <c r="J652" s="71"/>
    </row>
    <row r="653" spans="1:10">
      <c r="A653" s="71"/>
      <c r="B653" s="72"/>
      <c r="C653" s="71"/>
      <c r="D653" s="71"/>
      <c r="E653" s="71"/>
      <c r="F653" s="71"/>
      <c r="G653" s="71"/>
      <c r="H653" s="71"/>
      <c r="I653" s="71"/>
      <c r="J653" s="71"/>
    </row>
    <row r="654" spans="1:10">
      <c r="A654" s="71"/>
      <c r="B654" s="72"/>
      <c r="C654" s="71"/>
      <c r="D654" s="71"/>
      <c r="E654" s="71"/>
      <c r="F654" s="71"/>
      <c r="G654" s="71"/>
      <c r="H654" s="71"/>
      <c r="I654" s="71"/>
      <c r="J654" s="71"/>
    </row>
    <row r="655" spans="1:10">
      <c r="A655" s="71"/>
      <c r="B655" s="72"/>
      <c r="C655" s="71"/>
      <c r="D655" s="71"/>
      <c r="E655" s="71"/>
      <c r="F655" s="71"/>
      <c r="G655" s="71"/>
      <c r="H655" s="71"/>
      <c r="I655" s="71"/>
      <c r="J655" s="71"/>
    </row>
    <row r="656" spans="1:10">
      <c r="A656" s="71"/>
      <c r="B656" s="72"/>
      <c r="C656" s="71"/>
      <c r="D656" s="71"/>
      <c r="E656" s="71"/>
      <c r="F656" s="71"/>
      <c r="G656" s="71"/>
      <c r="H656" s="71"/>
      <c r="I656" s="71"/>
      <c r="J656" s="71"/>
    </row>
    <row r="657" spans="1:10">
      <c r="A657" s="71"/>
      <c r="B657" s="72"/>
      <c r="C657" s="71"/>
      <c r="D657" s="71"/>
      <c r="E657" s="71"/>
      <c r="F657" s="71"/>
      <c r="G657" s="71"/>
      <c r="H657" s="71"/>
      <c r="I657" s="71"/>
      <c r="J657" s="71"/>
    </row>
    <row r="658" spans="1:10">
      <c r="A658" s="71"/>
      <c r="B658" s="72"/>
      <c r="C658" s="71"/>
      <c r="D658" s="71"/>
      <c r="E658" s="71"/>
      <c r="F658" s="71"/>
      <c r="G658" s="71"/>
      <c r="H658" s="71"/>
      <c r="I658" s="71"/>
      <c r="J658" s="71"/>
    </row>
    <row r="659" spans="1:10">
      <c r="A659" s="71"/>
      <c r="B659" s="72"/>
      <c r="C659" s="71"/>
      <c r="D659" s="71"/>
      <c r="E659" s="71"/>
      <c r="F659" s="71"/>
      <c r="G659" s="71"/>
      <c r="H659" s="71"/>
      <c r="I659" s="71"/>
      <c r="J659" s="71"/>
    </row>
    <row r="660" spans="1:10">
      <c r="A660" s="71"/>
      <c r="B660" s="72"/>
      <c r="C660" s="71"/>
      <c r="D660" s="71"/>
      <c r="E660" s="71"/>
      <c r="F660" s="71"/>
      <c r="G660" s="71"/>
      <c r="H660" s="71"/>
      <c r="I660" s="71"/>
      <c r="J660" s="71"/>
    </row>
    <row r="661" spans="1:10">
      <c r="A661" s="71"/>
      <c r="B661" s="72"/>
      <c r="C661" s="71"/>
      <c r="D661" s="71"/>
      <c r="E661" s="71"/>
      <c r="F661" s="71"/>
      <c r="G661" s="71"/>
      <c r="H661" s="71"/>
      <c r="I661" s="71"/>
      <c r="J661" s="71"/>
    </row>
    <row r="662" spans="1:10">
      <c r="A662" s="71"/>
      <c r="B662" s="72"/>
      <c r="C662" s="71"/>
      <c r="D662" s="71"/>
      <c r="E662" s="71"/>
      <c r="F662" s="71"/>
      <c r="G662" s="71"/>
      <c r="H662" s="71"/>
      <c r="I662" s="71"/>
      <c r="J662" s="71"/>
    </row>
    <row r="663" spans="1:10">
      <c r="A663" s="71"/>
      <c r="B663" s="72"/>
      <c r="C663" s="71"/>
      <c r="D663" s="71"/>
      <c r="E663" s="71"/>
      <c r="F663" s="71"/>
      <c r="G663" s="71"/>
      <c r="H663" s="71"/>
      <c r="I663" s="71"/>
      <c r="J663" s="71"/>
    </row>
    <row r="664" spans="1:10">
      <c r="A664" s="71"/>
      <c r="B664" s="72"/>
      <c r="C664" s="71"/>
      <c r="D664" s="71"/>
      <c r="E664" s="71"/>
      <c r="F664" s="71"/>
      <c r="G664" s="71"/>
      <c r="H664" s="71"/>
      <c r="I664" s="71"/>
      <c r="J664" s="71"/>
    </row>
    <row r="665" spans="1:10">
      <c r="A665" s="71"/>
      <c r="B665" s="72"/>
      <c r="C665" s="71"/>
      <c r="D665" s="71"/>
      <c r="E665" s="71"/>
      <c r="F665" s="71"/>
      <c r="G665" s="71"/>
      <c r="H665" s="71"/>
      <c r="I665" s="71"/>
      <c r="J665" s="71"/>
    </row>
    <row r="666" spans="1:10">
      <c r="A666" s="71"/>
      <c r="B666" s="72"/>
      <c r="C666" s="71"/>
      <c r="D666" s="71"/>
      <c r="E666" s="71"/>
      <c r="F666" s="71"/>
      <c r="G666" s="71"/>
      <c r="H666" s="71"/>
      <c r="I666" s="71"/>
      <c r="J666" s="71"/>
    </row>
    <row r="667" spans="1:10">
      <c r="A667" s="71"/>
      <c r="B667" s="72"/>
      <c r="C667" s="71"/>
      <c r="D667" s="71"/>
      <c r="E667" s="71"/>
      <c r="F667" s="71"/>
      <c r="G667" s="71"/>
      <c r="H667" s="71"/>
      <c r="I667" s="71"/>
      <c r="J667" s="71"/>
    </row>
    <row r="668" spans="1:10">
      <c r="A668" s="71"/>
      <c r="B668" s="72"/>
      <c r="C668" s="71"/>
      <c r="D668" s="71"/>
      <c r="E668" s="71"/>
      <c r="F668" s="71"/>
      <c r="G668" s="71"/>
      <c r="H668" s="71"/>
      <c r="I668" s="71"/>
      <c r="J668" s="71"/>
    </row>
    <row r="669" spans="1:10">
      <c r="A669" s="71"/>
      <c r="B669" s="72"/>
      <c r="C669" s="71"/>
      <c r="D669" s="71"/>
      <c r="E669" s="71"/>
      <c r="F669" s="71"/>
      <c r="G669" s="71"/>
      <c r="H669" s="71"/>
      <c r="I669" s="71"/>
      <c r="J669" s="71"/>
    </row>
    <row r="670" spans="1:10">
      <c r="A670" s="71"/>
      <c r="B670" s="72"/>
      <c r="C670" s="71"/>
      <c r="D670" s="71"/>
      <c r="E670" s="71"/>
      <c r="F670" s="71"/>
      <c r="G670" s="71"/>
      <c r="H670" s="71"/>
      <c r="I670" s="71"/>
      <c r="J670" s="71"/>
    </row>
    <row r="671" spans="1:10">
      <c r="A671" s="71"/>
      <c r="B671" s="72"/>
      <c r="C671" s="71"/>
      <c r="D671" s="71"/>
      <c r="E671" s="71"/>
      <c r="F671" s="71"/>
      <c r="G671" s="71"/>
      <c r="H671" s="71"/>
      <c r="I671" s="71"/>
      <c r="J671" s="71"/>
    </row>
    <row r="672" spans="1:10">
      <c r="A672" s="71"/>
      <c r="B672" s="72"/>
      <c r="C672" s="71"/>
      <c r="D672" s="71"/>
      <c r="E672" s="71"/>
      <c r="F672" s="71"/>
      <c r="G672" s="71"/>
      <c r="H672" s="71"/>
      <c r="I672" s="71"/>
      <c r="J672" s="71"/>
    </row>
    <row r="673" spans="1:10">
      <c r="A673" s="71"/>
      <c r="B673" s="72"/>
      <c r="C673" s="71"/>
      <c r="D673" s="71"/>
      <c r="E673" s="71"/>
      <c r="F673" s="71"/>
      <c r="G673" s="71"/>
      <c r="H673" s="71"/>
      <c r="I673" s="71"/>
      <c r="J673" s="71"/>
    </row>
    <row r="674" spans="1:10">
      <c r="A674" s="71"/>
      <c r="B674" s="72"/>
      <c r="C674" s="71"/>
      <c r="D674" s="71"/>
      <c r="E674" s="71"/>
      <c r="F674" s="71"/>
      <c r="G674" s="71"/>
      <c r="H674" s="71"/>
      <c r="I674" s="71"/>
      <c r="J674" s="71"/>
    </row>
    <row r="675" spans="1:10">
      <c r="A675" s="71"/>
      <c r="B675" s="72"/>
      <c r="C675" s="71"/>
      <c r="D675" s="71"/>
      <c r="E675" s="71"/>
      <c r="F675" s="71"/>
      <c r="G675" s="71"/>
      <c r="H675" s="71"/>
      <c r="I675" s="71"/>
      <c r="J675" s="71"/>
    </row>
    <row r="676" spans="1:10">
      <c r="A676" s="71"/>
      <c r="B676" s="72"/>
      <c r="C676" s="71"/>
      <c r="D676" s="71"/>
      <c r="E676" s="71"/>
      <c r="F676" s="71"/>
      <c r="G676" s="71"/>
      <c r="H676" s="71"/>
      <c r="I676" s="71"/>
      <c r="J676" s="71"/>
    </row>
    <row r="677" spans="1:10">
      <c r="A677" s="71"/>
      <c r="B677" s="72"/>
      <c r="C677" s="71"/>
      <c r="D677" s="71"/>
      <c r="E677" s="71"/>
      <c r="F677" s="71"/>
      <c r="G677" s="71"/>
      <c r="H677" s="71"/>
      <c r="I677" s="71"/>
      <c r="J677" s="71"/>
    </row>
    <row r="678" spans="1:10">
      <c r="A678" s="71"/>
      <c r="B678" s="72"/>
      <c r="C678" s="71"/>
      <c r="D678" s="71"/>
      <c r="E678" s="71"/>
      <c r="F678" s="71"/>
      <c r="G678" s="71"/>
      <c r="H678" s="71"/>
      <c r="I678" s="71"/>
      <c r="J678" s="71"/>
    </row>
    <row r="679" spans="1:10">
      <c r="A679" s="71"/>
      <c r="B679" s="72"/>
      <c r="C679" s="71"/>
      <c r="D679" s="71"/>
      <c r="E679" s="71"/>
      <c r="F679" s="71"/>
      <c r="G679" s="71"/>
      <c r="H679" s="71"/>
      <c r="I679" s="71"/>
      <c r="J679" s="71"/>
    </row>
    <row r="680" spans="1:10">
      <c r="A680" s="71"/>
      <c r="B680" s="72"/>
      <c r="C680" s="71"/>
      <c r="D680" s="71"/>
      <c r="E680" s="71"/>
      <c r="F680" s="71"/>
      <c r="G680" s="71"/>
      <c r="H680" s="71"/>
      <c r="I680" s="71"/>
      <c r="J680" s="71"/>
    </row>
    <row r="681" spans="1:10">
      <c r="A681" s="71"/>
      <c r="B681" s="72"/>
      <c r="C681" s="71"/>
      <c r="D681" s="71"/>
      <c r="E681" s="71"/>
      <c r="F681" s="71"/>
      <c r="G681" s="71"/>
      <c r="H681" s="71"/>
      <c r="I681" s="71"/>
      <c r="J681" s="71"/>
    </row>
    <row r="682" spans="1:10">
      <c r="A682" s="71"/>
      <c r="B682" s="72"/>
      <c r="C682" s="71"/>
      <c r="D682" s="71"/>
      <c r="E682" s="71"/>
      <c r="F682" s="71"/>
      <c r="G682" s="71"/>
      <c r="H682" s="71"/>
      <c r="I682" s="71"/>
      <c r="J682" s="71"/>
    </row>
    <row r="683" spans="1:10">
      <c r="A683" s="71"/>
      <c r="B683" s="72"/>
      <c r="C683" s="71"/>
      <c r="D683" s="71"/>
      <c r="E683" s="71"/>
      <c r="F683" s="71"/>
      <c r="G683" s="71"/>
      <c r="H683" s="71"/>
      <c r="I683" s="71"/>
      <c r="J683" s="71"/>
    </row>
    <row r="684" spans="1:10">
      <c r="A684" s="71"/>
      <c r="B684" s="72"/>
      <c r="C684" s="71"/>
      <c r="D684" s="71"/>
      <c r="E684" s="71"/>
      <c r="F684" s="71"/>
      <c r="G684" s="71"/>
      <c r="H684" s="71"/>
      <c r="I684" s="71"/>
      <c r="J684" s="71"/>
    </row>
    <row r="685" spans="1:10">
      <c r="A685" s="71"/>
      <c r="B685" s="72"/>
      <c r="C685" s="71"/>
      <c r="D685" s="71"/>
      <c r="E685" s="71"/>
      <c r="F685" s="71"/>
      <c r="G685" s="71"/>
      <c r="H685" s="71"/>
      <c r="I685" s="71"/>
      <c r="J685" s="71"/>
    </row>
    <row r="686" spans="1:10">
      <c r="A686" s="71"/>
      <c r="B686" s="72"/>
      <c r="C686" s="71"/>
      <c r="D686" s="71"/>
      <c r="E686" s="71"/>
      <c r="F686" s="71"/>
      <c r="G686" s="71"/>
      <c r="H686" s="71"/>
      <c r="I686" s="71"/>
      <c r="J686" s="71"/>
    </row>
    <row r="687" spans="1:10">
      <c r="A687" s="71"/>
      <c r="B687" s="72"/>
      <c r="C687" s="71"/>
      <c r="D687" s="71"/>
      <c r="E687" s="71"/>
      <c r="F687" s="71"/>
      <c r="G687" s="71"/>
      <c r="H687" s="71"/>
      <c r="I687" s="71"/>
      <c r="J687" s="71"/>
    </row>
    <row r="688" spans="1:10">
      <c r="A688" s="71"/>
      <c r="B688" s="72"/>
      <c r="C688" s="71"/>
      <c r="D688" s="71"/>
      <c r="E688" s="71"/>
      <c r="F688" s="71"/>
      <c r="G688" s="71"/>
      <c r="H688" s="71"/>
      <c r="I688" s="71"/>
      <c r="J688" s="71"/>
    </row>
    <row r="689" spans="1:10">
      <c r="A689" s="71"/>
      <c r="B689" s="72"/>
      <c r="C689" s="71"/>
      <c r="D689" s="71"/>
      <c r="E689" s="71"/>
      <c r="F689" s="71"/>
      <c r="G689" s="71"/>
      <c r="H689" s="71"/>
      <c r="I689" s="71"/>
      <c r="J689" s="71"/>
    </row>
    <row r="690" spans="1:10">
      <c r="A690" s="71"/>
      <c r="B690" s="72"/>
      <c r="C690" s="71"/>
      <c r="D690" s="71"/>
      <c r="E690" s="71"/>
      <c r="F690" s="71"/>
      <c r="G690" s="71"/>
      <c r="H690" s="71"/>
      <c r="I690" s="71"/>
      <c r="J690" s="71"/>
    </row>
    <row r="691" spans="1:10">
      <c r="A691" s="71"/>
      <c r="B691" s="72"/>
      <c r="C691" s="71"/>
      <c r="D691" s="71"/>
      <c r="E691" s="71"/>
      <c r="F691" s="71"/>
      <c r="G691" s="71"/>
      <c r="H691" s="71"/>
      <c r="I691" s="71"/>
      <c r="J691" s="71"/>
    </row>
    <row r="692" spans="1:10">
      <c r="A692" s="71"/>
      <c r="B692" s="72"/>
      <c r="C692" s="71"/>
      <c r="D692" s="71"/>
      <c r="E692" s="71"/>
      <c r="F692" s="71"/>
      <c r="G692" s="71"/>
      <c r="H692" s="71"/>
      <c r="I692" s="71"/>
      <c r="J692" s="71"/>
    </row>
    <row r="693" spans="1:10">
      <c r="A693" s="71"/>
      <c r="B693" s="72"/>
      <c r="C693" s="71"/>
      <c r="D693" s="71"/>
      <c r="E693" s="71"/>
      <c r="F693" s="71"/>
      <c r="G693" s="71"/>
      <c r="H693" s="71"/>
      <c r="I693" s="71"/>
      <c r="J693" s="71"/>
    </row>
    <row r="694" spans="1:10">
      <c r="A694" s="71"/>
      <c r="B694" s="72"/>
      <c r="C694" s="71"/>
      <c r="D694" s="71"/>
      <c r="E694" s="71"/>
      <c r="F694" s="71"/>
      <c r="G694" s="71"/>
      <c r="H694" s="71"/>
      <c r="I694" s="71"/>
      <c r="J694" s="71"/>
    </row>
    <row r="695" spans="1:10">
      <c r="A695" s="71"/>
      <c r="B695" s="72"/>
      <c r="C695" s="71"/>
      <c r="D695" s="71"/>
      <c r="E695" s="71"/>
      <c r="F695" s="71"/>
      <c r="G695" s="71"/>
      <c r="H695" s="71"/>
      <c r="I695" s="71"/>
      <c r="J695" s="71"/>
    </row>
    <row r="696" spans="1:10">
      <c r="A696" s="71"/>
      <c r="B696" s="72"/>
      <c r="C696" s="71"/>
      <c r="D696" s="71"/>
      <c r="E696" s="71"/>
      <c r="F696" s="71"/>
      <c r="G696" s="71"/>
      <c r="H696" s="71"/>
      <c r="I696" s="71"/>
      <c r="J696" s="71"/>
    </row>
    <row r="697" spans="1:10">
      <c r="A697" s="71"/>
      <c r="B697" s="72"/>
      <c r="C697" s="71"/>
      <c r="D697" s="71"/>
      <c r="E697" s="71"/>
      <c r="F697" s="71"/>
      <c r="G697" s="71"/>
      <c r="H697" s="71"/>
      <c r="I697" s="71"/>
      <c r="J697" s="71"/>
    </row>
    <row r="698" spans="1:10">
      <c r="A698" s="71"/>
      <c r="B698" s="72"/>
      <c r="C698" s="71"/>
      <c r="D698" s="71"/>
      <c r="E698" s="71"/>
      <c r="F698" s="71"/>
      <c r="G698" s="71"/>
      <c r="H698" s="71"/>
      <c r="I698" s="71"/>
      <c r="J698" s="71"/>
    </row>
    <row r="699" spans="1:10">
      <c r="A699" s="71"/>
      <c r="B699" s="72"/>
      <c r="C699" s="71"/>
      <c r="D699" s="71"/>
      <c r="E699" s="71"/>
      <c r="F699" s="71"/>
      <c r="G699" s="71"/>
      <c r="H699" s="71"/>
      <c r="I699" s="71"/>
      <c r="J699" s="71"/>
    </row>
    <row r="700" spans="1:10">
      <c r="A700" s="71"/>
      <c r="B700" s="72"/>
      <c r="C700" s="71"/>
      <c r="D700" s="71"/>
      <c r="E700" s="71"/>
      <c r="F700" s="71"/>
      <c r="G700" s="71"/>
      <c r="H700" s="71"/>
      <c r="I700" s="71"/>
      <c r="J700" s="71"/>
    </row>
    <row r="701" spans="1:10">
      <c r="A701" s="71"/>
      <c r="B701" s="72"/>
      <c r="C701" s="71"/>
      <c r="D701" s="71"/>
      <c r="E701" s="71"/>
      <c r="F701" s="71"/>
      <c r="G701" s="71"/>
      <c r="H701" s="71"/>
      <c r="I701" s="71"/>
      <c r="J701" s="71"/>
    </row>
    <row r="702" spans="1:10">
      <c r="A702" s="71"/>
      <c r="B702" s="72"/>
      <c r="C702" s="71"/>
      <c r="D702" s="71"/>
      <c r="E702" s="71"/>
      <c r="F702" s="71"/>
      <c r="G702" s="71"/>
      <c r="H702" s="71"/>
      <c r="I702" s="71"/>
      <c r="J702" s="71"/>
    </row>
    <row r="703" spans="1:10">
      <c r="A703" s="71"/>
      <c r="B703" s="72"/>
      <c r="C703" s="71"/>
      <c r="D703" s="71"/>
      <c r="E703" s="71"/>
      <c r="F703" s="71"/>
      <c r="G703" s="71"/>
      <c r="H703" s="71"/>
      <c r="I703" s="71"/>
      <c r="J703" s="71"/>
    </row>
    <row r="704" spans="1:10">
      <c r="A704" s="71"/>
      <c r="B704" s="72"/>
      <c r="C704" s="71"/>
      <c r="D704" s="71"/>
      <c r="E704" s="71"/>
      <c r="F704" s="71"/>
      <c r="G704" s="71"/>
      <c r="H704" s="71"/>
      <c r="I704" s="71"/>
      <c r="J704" s="71"/>
    </row>
    <row r="705" spans="1:10">
      <c r="A705" s="71"/>
      <c r="B705" s="72"/>
      <c r="C705" s="71"/>
      <c r="D705" s="71"/>
      <c r="E705" s="71"/>
      <c r="F705" s="71"/>
      <c r="G705" s="71"/>
      <c r="H705" s="71"/>
      <c r="I705" s="71"/>
      <c r="J705" s="71"/>
    </row>
    <row r="706" spans="1:10">
      <c r="A706" s="71"/>
      <c r="B706" s="72"/>
      <c r="C706" s="71"/>
      <c r="D706" s="71"/>
      <c r="E706" s="71"/>
      <c r="F706" s="71"/>
      <c r="G706" s="71"/>
      <c r="H706" s="71"/>
      <c r="I706" s="71"/>
      <c r="J706" s="71"/>
    </row>
    <row r="707" spans="1:10">
      <c r="A707" s="71"/>
      <c r="B707" s="72"/>
      <c r="C707" s="71"/>
      <c r="D707" s="71"/>
      <c r="E707" s="71"/>
      <c r="F707" s="71"/>
      <c r="G707" s="71"/>
      <c r="H707" s="71"/>
      <c r="I707" s="71"/>
      <c r="J707" s="71"/>
    </row>
    <row r="708" spans="1:10">
      <c r="A708" s="71"/>
      <c r="B708" s="72"/>
      <c r="C708" s="71"/>
      <c r="D708" s="71"/>
      <c r="E708" s="71"/>
      <c r="F708" s="71"/>
      <c r="G708" s="71"/>
      <c r="H708" s="71"/>
      <c r="I708" s="71"/>
      <c r="J708" s="71"/>
    </row>
    <row r="709" spans="1:10">
      <c r="A709" s="71"/>
      <c r="B709" s="72"/>
      <c r="C709" s="71"/>
      <c r="D709" s="71"/>
      <c r="E709" s="71"/>
      <c r="F709" s="71"/>
      <c r="G709" s="71"/>
      <c r="H709" s="71"/>
      <c r="I709" s="71"/>
      <c r="J709" s="71"/>
    </row>
    <row r="710" spans="1:10">
      <c r="A710" s="71"/>
      <c r="B710" s="72"/>
      <c r="C710" s="71"/>
      <c r="D710" s="71"/>
      <c r="E710" s="71"/>
      <c r="F710" s="71"/>
      <c r="G710" s="71"/>
      <c r="H710" s="71"/>
      <c r="I710" s="71"/>
      <c r="J710" s="71"/>
    </row>
    <row r="711" spans="1:10">
      <c r="A711" s="71"/>
      <c r="B711" s="72"/>
      <c r="C711" s="71"/>
      <c r="D711" s="71"/>
      <c r="E711" s="71"/>
      <c r="F711" s="71"/>
      <c r="G711" s="71"/>
      <c r="H711" s="71"/>
      <c r="I711" s="71"/>
      <c r="J711" s="71"/>
    </row>
    <row r="712" spans="1:10">
      <c r="A712" s="71"/>
      <c r="B712" s="72"/>
      <c r="C712" s="71"/>
      <c r="D712" s="71"/>
      <c r="E712" s="71"/>
      <c r="F712" s="71"/>
      <c r="G712" s="71"/>
      <c r="H712" s="71"/>
      <c r="I712" s="71"/>
      <c r="J712" s="71"/>
    </row>
    <row r="713" spans="1:10">
      <c r="A713" s="71"/>
      <c r="B713" s="72"/>
      <c r="C713" s="71"/>
      <c r="D713" s="71"/>
      <c r="E713" s="71"/>
      <c r="F713" s="71"/>
      <c r="G713" s="71"/>
      <c r="H713" s="71"/>
      <c r="I713" s="71"/>
      <c r="J713" s="71"/>
    </row>
    <row r="714" spans="1:10">
      <c r="A714" s="71"/>
      <c r="B714" s="72"/>
      <c r="C714" s="71"/>
      <c r="D714" s="71"/>
      <c r="E714" s="71"/>
      <c r="F714" s="71"/>
      <c r="G714" s="71"/>
      <c r="H714" s="71"/>
      <c r="I714" s="71"/>
      <c r="J714" s="71"/>
    </row>
    <row r="715" spans="1:10">
      <c r="A715" s="71"/>
      <c r="B715" s="72"/>
      <c r="C715" s="71"/>
      <c r="D715" s="71"/>
      <c r="E715" s="71"/>
      <c r="F715" s="71"/>
      <c r="G715" s="71"/>
      <c r="H715" s="71"/>
      <c r="I715" s="71"/>
      <c r="J715" s="71"/>
    </row>
    <row r="716" spans="1:10">
      <c r="A716" s="71"/>
      <c r="B716" s="72"/>
      <c r="C716" s="71"/>
      <c r="D716" s="71"/>
      <c r="E716" s="71"/>
      <c r="F716" s="71"/>
      <c r="G716" s="71"/>
      <c r="H716" s="71"/>
      <c r="I716" s="71"/>
      <c r="J716" s="71"/>
    </row>
    <row r="717" spans="1:10">
      <c r="A717" s="71"/>
      <c r="B717" s="72"/>
      <c r="C717" s="71"/>
      <c r="D717" s="71"/>
      <c r="E717" s="71"/>
      <c r="F717" s="71"/>
      <c r="G717" s="71"/>
      <c r="H717" s="71"/>
      <c r="I717" s="71"/>
      <c r="J717" s="71"/>
    </row>
    <row r="718" spans="1:10">
      <c r="A718" s="71"/>
      <c r="B718" s="72"/>
      <c r="C718" s="71"/>
      <c r="D718" s="71"/>
      <c r="E718" s="71"/>
      <c r="F718" s="71"/>
      <c r="G718" s="71"/>
      <c r="H718" s="71"/>
      <c r="I718" s="71"/>
      <c r="J718" s="71"/>
    </row>
    <row r="719" spans="1:10">
      <c r="A719" s="71"/>
      <c r="B719" s="72"/>
      <c r="C719" s="71"/>
      <c r="D719" s="71"/>
      <c r="E719" s="71"/>
      <c r="F719" s="71"/>
      <c r="G719" s="71"/>
      <c r="H719" s="71"/>
      <c r="I719" s="71"/>
      <c r="J719" s="71"/>
    </row>
    <row r="720" spans="1:10">
      <c r="A720" s="71"/>
      <c r="B720" s="72"/>
      <c r="C720" s="71"/>
      <c r="D720" s="71"/>
      <c r="E720" s="71"/>
      <c r="F720" s="71"/>
      <c r="G720" s="71"/>
      <c r="H720" s="71"/>
      <c r="I720" s="71"/>
      <c r="J720" s="71"/>
    </row>
    <row r="721" spans="1:10">
      <c r="A721" s="71"/>
      <c r="B721" s="72"/>
      <c r="C721" s="71"/>
      <c r="D721" s="71"/>
      <c r="E721" s="71"/>
      <c r="F721" s="71"/>
      <c r="G721" s="71"/>
      <c r="H721" s="71"/>
      <c r="I721" s="71"/>
      <c r="J721" s="71"/>
    </row>
    <row r="722" spans="1:10">
      <c r="A722" s="71"/>
      <c r="B722" s="72"/>
      <c r="C722" s="71"/>
      <c r="D722" s="71"/>
      <c r="E722" s="71"/>
      <c r="F722" s="71"/>
      <c r="G722" s="71"/>
      <c r="H722" s="71"/>
      <c r="I722" s="71"/>
      <c r="J722" s="71"/>
    </row>
    <row r="723" spans="1:10">
      <c r="A723" s="71"/>
      <c r="B723" s="72"/>
      <c r="C723" s="71"/>
      <c r="D723" s="71"/>
      <c r="E723" s="71"/>
      <c r="F723" s="71"/>
      <c r="G723" s="71"/>
      <c r="H723" s="71"/>
      <c r="I723" s="71"/>
      <c r="J723" s="71"/>
    </row>
    <row r="724" spans="1:10">
      <c r="A724" s="71"/>
      <c r="B724" s="72"/>
      <c r="C724" s="71"/>
      <c r="D724" s="71"/>
      <c r="E724" s="71"/>
      <c r="F724" s="71"/>
      <c r="G724" s="71"/>
      <c r="H724" s="71"/>
      <c r="I724" s="71"/>
      <c r="J724" s="71"/>
    </row>
    <row r="725" spans="1:10">
      <c r="A725" s="71"/>
      <c r="B725" s="72"/>
      <c r="C725" s="71"/>
      <c r="D725" s="71"/>
      <c r="E725" s="71"/>
      <c r="F725" s="71"/>
      <c r="G725" s="71"/>
      <c r="H725" s="71"/>
      <c r="I725" s="71"/>
      <c r="J725" s="71"/>
    </row>
    <row r="726" spans="1:10">
      <c r="A726" s="71"/>
      <c r="B726" s="72"/>
      <c r="C726" s="71"/>
      <c r="D726" s="71"/>
      <c r="E726" s="71"/>
      <c r="F726" s="71"/>
      <c r="G726" s="71"/>
      <c r="H726" s="71"/>
      <c r="I726" s="71"/>
      <c r="J726" s="71"/>
    </row>
    <row r="727" spans="1:10">
      <c r="A727" s="71"/>
      <c r="B727" s="72"/>
      <c r="C727" s="71"/>
      <c r="D727" s="71"/>
      <c r="E727" s="71"/>
      <c r="F727" s="71"/>
      <c r="G727" s="71"/>
      <c r="H727" s="71"/>
      <c r="I727" s="71"/>
      <c r="J727" s="71"/>
    </row>
    <row r="728" spans="1:10">
      <c r="A728" s="71"/>
      <c r="B728" s="72"/>
      <c r="C728" s="71"/>
      <c r="D728" s="71"/>
      <c r="E728" s="71"/>
      <c r="F728" s="71"/>
      <c r="G728" s="71"/>
      <c r="H728" s="71"/>
      <c r="I728" s="71"/>
      <c r="J728" s="71"/>
    </row>
    <row r="729" spans="1:10">
      <c r="A729" s="71"/>
      <c r="B729" s="72"/>
      <c r="C729" s="71"/>
      <c r="D729" s="71"/>
      <c r="E729" s="71"/>
      <c r="F729" s="71"/>
      <c r="G729" s="71"/>
      <c r="H729" s="71"/>
      <c r="I729" s="71"/>
      <c r="J729" s="71"/>
    </row>
    <row r="730" spans="1:10">
      <c r="A730" s="71"/>
      <c r="B730" s="72"/>
      <c r="C730" s="71"/>
      <c r="D730" s="71"/>
      <c r="E730" s="71"/>
      <c r="F730" s="71"/>
      <c r="G730" s="71"/>
      <c r="H730" s="71"/>
      <c r="I730" s="71"/>
      <c r="J730" s="71"/>
    </row>
    <row r="731" spans="1:10">
      <c r="A731" s="71"/>
      <c r="B731" s="72"/>
      <c r="C731" s="71"/>
      <c r="D731" s="71"/>
      <c r="E731" s="71"/>
      <c r="F731" s="71"/>
      <c r="G731" s="71"/>
      <c r="H731" s="71"/>
      <c r="I731" s="71"/>
      <c r="J731" s="71"/>
    </row>
    <row r="732" spans="1:10">
      <c r="A732" s="71"/>
      <c r="B732" s="72"/>
      <c r="C732" s="71"/>
      <c r="D732" s="71"/>
      <c r="E732" s="71"/>
      <c r="F732" s="71"/>
      <c r="G732" s="71"/>
      <c r="H732" s="71"/>
      <c r="I732" s="71"/>
      <c r="J732" s="71"/>
    </row>
    <row r="733" spans="1:10">
      <c r="A733" s="71"/>
      <c r="B733" s="72"/>
      <c r="C733" s="71"/>
      <c r="D733" s="71"/>
      <c r="E733" s="71"/>
      <c r="F733" s="71"/>
      <c r="G733" s="71"/>
      <c r="H733" s="71"/>
      <c r="I733" s="71"/>
      <c r="J733" s="71"/>
    </row>
    <row r="734" spans="1:10">
      <c r="A734" s="71"/>
      <c r="B734" s="72"/>
      <c r="C734" s="71"/>
      <c r="D734" s="71"/>
      <c r="E734" s="71"/>
      <c r="F734" s="71"/>
      <c r="G734" s="71"/>
      <c r="H734" s="71"/>
      <c r="I734" s="71"/>
      <c r="J734" s="71"/>
    </row>
    <row r="735" spans="1:10">
      <c r="A735" s="71"/>
      <c r="B735" s="72"/>
      <c r="C735" s="71"/>
      <c r="D735" s="71"/>
      <c r="E735" s="71"/>
      <c r="F735" s="71"/>
      <c r="G735" s="71"/>
      <c r="H735" s="71"/>
      <c r="I735" s="71"/>
      <c r="J735" s="71"/>
    </row>
    <row r="736" spans="1:10">
      <c r="A736" s="71"/>
      <c r="B736" s="72"/>
      <c r="C736" s="71"/>
      <c r="D736" s="71"/>
      <c r="E736" s="71"/>
      <c r="F736" s="71"/>
      <c r="G736" s="71"/>
      <c r="H736" s="71"/>
      <c r="I736" s="71"/>
      <c r="J736" s="71"/>
    </row>
    <row r="737" spans="1:10">
      <c r="A737" s="71"/>
      <c r="B737" s="72"/>
      <c r="C737" s="71"/>
      <c r="D737" s="71"/>
      <c r="E737" s="71"/>
      <c r="F737" s="71"/>
      <c r="G737" s="71"/>
      <c r="H737" s="71"/>
      <c r="I737" s="71"/>
      <c r="J737" s="71"/>
    </row>
    <row r="738" spans="1:10">
      <c r="A738" s="71"/>
      <c r="B738" s="72"/>
      <c r="C738" s="71"/>
      <c r="D738" s="71"/>
      <c r="E738" s="71"/>
      <c r="F738" s="71"/>
      <c r="G738" s="71"/>
      <c r="H738" s="71"/>
      <c r="I738" s="71"/>
      <c r="J738" s="71"/>
    </row>
    <row r="739" spans="1:10">
      <c r="A739" s="71"/>
      <c r="B739" s="72"/>
      <c r="C739" s="71"/>
      <c r="D739" s="71"/>
      <c r="E739" s="71"/>
      <c r="F739" s="71"/>
      <c r="G739" s="71"/>
      <c r="H739" s="71"/>
      <c r="I739" s="71"/>
      <c r="J739" s="71"/>
    </row>
    <row r="740" spans="1:10">
      <c r="A740" s="71"/>
      <c r="B740" s="72"/>
      <c r="C740" s="71"/>
      <c r="D740" s="71"/>
      <c r="E740" s="71"/>
      <c r="F740" s="71"/>
      <c r="G740" s="71"/>
      <c r="H740" s="71"/>
      <c r="I740" s="71"/>
      <c r="J740" s="71"/>
    </row>
    <row r="741" spans="1:10">
      <c r="A741" s="71"/>
      <c r="B741" s="72"/>
      <c r="C741" s="71"/>
      <c r="D741" s="71"/>
      <c r="E741" s="71"/>
      <c r="F741" s="71"/>
      <c r="G741" s="71"/>
      <c r="H741" s="71"/>
      <c r="I741" s="71"/>
      <c r="J741" s="71"/>
    </row>
    <row r="742" spans="1:10">
      <c r="A742" s="71"/>
      <c r="B742" s="72"/>
      <c r="C742" s="71"/>
      <c r="D742" s="71"/>
      <c r="E742" s="71"/>
      <c r="F742" s="71"/>
      <c r="G742" s="71"/>
      <c r="H742" s="71"/>
      <c r="I742" s="71"/>
      <c r="J742" s="71"/>
    </row>
    <row r="743" spans="1:10">
      <c r="A743" s="71"/>
      <c r="B743" s="72"/>
      <c r="C743" s="71"/>
      <c r="D743" s="71"/>
      <c r="E743" s="71"/>
      <c r="F743" s="71"/>
      <c r="G743" s="71"/>
      <c r="H743" s="71"/>
      <c r="I743" s="71"/>
      <c r="J743" s="71"/>
    </row>
    <row r="744" spans="1:10">
      <c r="A744" s="71"/>
      <c r="B744" s="72"/>
      <c r="C744" s="71"/>
      <c r="D744" s="71"/>
      <c r="E744" s="71"/>
      <c r="F744" s="71"/>
      <c r="G744" s="71"/>
      <c r="H744" s="71"/>
      <c r="I744" s="71"/>
      <c r="J744" s="71"/>
    </row>
    <row r="745" spans="1:10">
      <c r="A745" s="71"/>
      <c r="B745" s="72"/>
      <c r="C745" s="71"/>
      <c r="D745" s="71"/>
      <c r="E745" s="71"/>
      <c r="F745" s="71"/>
      <c r="G745" s="71"/>
      <c r="H745" s="71"/>
      <c r="I745" s="71"/>
      <c r="J745" s="71"/>
    </row>
    <row r="746" spans="1:10">
      <c r="A746" s="71"/>
      <c r="B746" s="72"/>
      <c r="C746" s="71"/>
      <c r="D746" s="71"/>
      <c r="E746" s="71"/>
      <c r="F746" s="71"/>
      <c r="G746" s="71"/>
      <c r="H746" s="71"/>
      <c r="I746" s="71"/>
      <c r="J746" s="71"/>
    </row>
    <row r="747" spans="1:10">
      <c r="A747" s="71"/>
      <c r="B747" s="72"/>
      <c r="C747" s="71"/>
      <c r="D747" s="71"/>
      <c r="E747" s="71"/>
      <c r="F747" s="71"/>
      <c r="G747" s="71"/>
      <c r="H747" s="71"/>
      <c r="I747" s="71"/>
      <c r="J747" s="71"/>
    </row>
    <row r="748" spans="1:10">
      <c r="A748" s="71"/>
      <c r="B748" s="72"/>
      <c r="C748" s="71"/>
      <c r="D748" s="71"/>
      <c r="E748" s="71"/>
      <c r="F748" s="71"/>
      <c r="G748" s="71"/>
      <c r="H748" s="71"/>
      <c r="I748" s="71"/>
      <c r="J748" s="71"/>
    </row>
    <row r="749" spans="1:10">
      <c r="A749" s="71"/>
      <c r="B749" s="72"/>
      <c r="C749" s="71"/>
      <c r="D749" s="71"/>
      <c r="E749" s="71"/>
      <c r="F749" s="71"/>
      <c r="G749" s="71"/>
      <c r="H749" s="71"/>
      <c r="I749" s="71"/>
      <c r="J749" s="71"/>
    </row>
    <row r="750" spans="1:10">
      <c r="A750" s="71"/>
      <c r="B750" s="72"/>
      <c r="C750" s="71"/>
      <c r="D750" s="71"/>
      <c r="E750" s="71"/>
      <c r="F750" s="71"/>
      <c r="G750" s="71"/>
      <c r="H750" s="71"/>
      <c r="I750" s="71"/>
      <c r="J750" s="71"/>
    </row>
    <row r="751" spans="1:10">
      <c r="A751" s="71"/>
      <c r="B751" s="72"/>
      <c r="C751" s="71"/>
      <c r="D751" s="71"/>
      <c r="E751" s="71"/>
      <c r="F751" s="71"/>
      <c r="G751" s="71"/>
      <c r="H751" s="71"/>
      <c r="I751" s="71"/>
      <c r="J751" s="71"/>
    </row>
    <row r="752" spans="1:10">
      <c r="A752" s="71"/>
      <c r="B752" s="72"/>
      <c r="C752" s="71"/>
      <c r="D752" s="71"/>
      <c r="E752" s="71"/>
      <c r="F752" s="71"/>
      <c r="G752" s="71"/>
      <c r="H752" s="71"/>
      <c r="I752" s="71"/>
      <c r="J752" s="71"/>
    </row>
    <row r="753" spans="1:10">
      <c r="A753" s="71"/>
      <c r="B753" s="72"/>
      <c r="C753" s="71"/>
      <c r="D753" s="71"/>
      <c r="E753" s="71"/>
      <c r="F753" s="71"/>
      <c r="G753" s="71"/>
      <c r="H753" s="71"/>
      <c r="I753" s="71"/>
      <c r="J753" s="71"/>
    </row>
    <row r="754" spans="1:10">
      <c r="A754" s="71"/>
      <c r="B754" s="72"/>
      <c r="C754" s="71"/>
      <c r="D754" s="71"/>
      <c r="E754" s="71"/>
      <c r="F754" s="71"/>
      <c r="G754" s="71"/>
      <c r="H754" s="71"/>
      <c r="I754" s="71"/>
      <c r="J754" s="71"/>
    </row>
    <row r="755" spans="1:10">
      <c r="A755" s="71"/>
      <c r="B755" s="72"/>
      <c r="C755" s="71"/>
      <c r="D755" s="71"/>
      <c r="E755" s="71"/>
      <c r="F755" s="71"/>
      <c r="G755" s="71"/>
      <c r="H755" s="71"/>
      <c r="I755" s="71"/>
      <c r="J755" s="71"/>
    </row>
    <row r="756" spans="1:10">
      <c r="A756" s="71"/>
      <c r="B756" s="72"/>
      <c r="C756" s="71"/>
      <c r="D756" s="71"/>
      <c r="E756" s="71"/>
      <c r="F756" s="71"/>
      <c r="G756" s="71"/>
      <c r="H756" s="71"/>
      <c r="I756" s="71"/>
      <c r="J756" s="71"/>
    </row>
    <row r="757" spans="1:10">
      <c r="A757" s="71"/>
      <c r="B757" s="72"/>
      <c r="C757" s="71"/>
      <c r="D757" s="71"/>
      <c r="E757" s="71"/>
      <c r="F757" s="71"/>
      <c r="G757" s="71"/>
      <c r="H757" s="71"/>
      <c r="I757" s="71"/>
      <c r="J757" s="71"/>
    </row>
    <row r="758" spans="1:10">
      <c r="A758" s="71"/>
      <c r="B758" s="72"/>
      <c r="C758" s="71"/>
      <c r="D758" s="71"/>
      <c r="E758" s="71"/>
      <c r="F758" s="71"/>
      <c r="G758" s="71"/>
      <c r="H758" s="71"/>
      <c r="I758" s="71"/>
      <c r="J758" s="71"/>
    </row>
    <row r="759" spans="1:10">
      <c r="A759" s="71"/>
      <c r="B759" s="72"/>
      <c r="C759" s="71"/>
      <c r="D759" s="71"/>
      <c r="E759" s="71"/>
      <c r="F759" s="71"/>
      <c r="G759" s="71"/>
      <c r="H759" s="71"/>
      <c r="I759" s="71"/>
      <c r="J759" s="71"/>
    </row>
    <row r="760" spans="1:10">
      <c r="A760" s="71"/>
      <c r="B760" s="72"/>
      <c r="C760" s="71"/>
      <c r="D760" s="71"/>
      <c r="E760" s="71"/>
      <c r="F760" s="71"/>
      <c r="G760" s="71"/>
      <c r="H760" s="71"/>
      <c r="I760" s="71"/>
      <c r="J760" s="71"/>
    </row>
    <row r="761" spans="1:10">
      <c r="A761" s="71"/>
      <c r="B761" s="72"/>
      <c r="C761" s="71"/>
      <c r="D761" s="71"/>
      <c r="E761" s="71"/>
      <c r="F761" s="71"/>
      <c r="G761" s="71"/>
      <c r="H761" s="71"/>
      <c r="I761" s="71"/>
      <c r="J761" s="71"/>
    </row>
    <row r="762" spans="1:10">
      <c r="A762" s="71"/>
      <c r="B762" s="72"/>
      <c r="C762" s="71"/>
      <c r="D762" s="71"/>
      <c r="E762" s="71"/>
      <c r="F762" s="71"/>
      <c r="G762" s="71"/>
      <c r="H762" s="71"/>
      <c r="I762" s="71"/>
      <c r="J762" s="71"/>
    </row>
    <row r="763" spans="1:10">
      <c r="A763" s="71"/>
      <c r="B763" s="72"/>
      <c r="C763" s="71"/>
      <c r="D763" s="71"/>
      <c r="E763" s="71"/>
      <c r="F763" s="71"/>
      <c r="G763" s="71"/>
      <c r="H763" s="71"/>
      <c r="I763" s="71"/>
      <c r="J763" s="71"/>
    </row>
    <row r="764" spans="1:10">
      <c r="A764" s="71"/>
      <c r="B764" s="72"/>
      <c r="C764" s="71"/>
      <c r="D764" s="71"/>
      <c r="E764" s="71"/>
      <c r="F764" s="71"/>
      <c r="G764" s="71"/>
      <c r="H764" s="71"/>
      <c r="I764" s="71"/>
      <c r="J764" s="71"/>
    </row>
    <row r="765" spans="1:10">
      <c r="A765" s="71"/>
      <c r="B765" s="72"/>
      <c r="C765" s="71"/>
      <c r="D765" s="71"/>
      <c r="E765" s="71"/>
      <c r="F765" s="71"/>
      <c r="G765" s="71"/>
      <c r="H765" s="71"/>
      <c r="I765" s="71"/>
      <c r="J765" s="71"/>
    </row>
    <row r="766" spans="1:10">
      <c r="A766" s="71"/>
      <c r="B766" s="72"/>
      <c r="C766" s="71"/>
      <c r="D766" s="71"/>
      <c r="E766" s="71"/>
      <c r="F766" s="71"/>
      <c r="G766" s="71"/>
      <c r="H766" s="71"/>
      <c r="I766" s="71"/>
      <c r="J766" s="71"/>
    </row>
    <row r="767" spans="1:10">
      <c r="A767" s="71"/>
      <c r="B767" s="72"/>
      <c r="C767" s="71"/>
      <c r="D767" s="71"/>
      <c r="E767" s="71"/>
      <c r="F767" s="71"/>
      <c r="G767" s="71"/>
      <c r="H767" s="71"/>
      <c r="I767" s="71"/>
      <c r="J767" s="71"/>
    </row>
    <row r="768" spans="1:10">
      <c r="A768" s="71"/>
      <c r="B768" s="72"/>
      <c r="C768" s="71"/>
      <c r="D768" s="71"/>
      <c r="E768" s="71"/>
      <c r="F768" s="71"/>
      <c r="G768" s="71"/>
      <c r="H768" s="71"/>
      <c r="I768" s="71"/>
      <c r="J768" s="71"/>
    </row>
    <row r="769" spans="1:10">
      <c r="A769" s="71"/>
      <c r="B769" s="72"/>
      <c r="C769" s="71"/>
      <c r="D769" s="71"/>
      <c r="E769" s="71"/>
      <c r="F769" s="71"/>
      <c r="G769" s="71"/>
      <c r="H769" s="71"/>
      <c r="I769" s="71"/>
      <c r="J769" s="71"/>
    </row>
    <row r="770" spans="1:10">
      <c r="A770" s="71"/>
      <c r="B770" s="72"/>
      <c r="C770" s="71"/>
      <c r="D770" s="71"/>
      <c r="E770" s="71"/>
      <c r="F770" s="71"/>
      <c r="G770" s="71"/>
      <c r="H770" s="71"/>
      <c r="I770" s="71"/>
      <c r="J770" s="71"/>
    </row>
    <row r="771" spans="1:10">
      <c r="A771" s="71"/>
      <c r="B771" s="72"/>
      <c r="C771" s="71"/>
      <c r="D771" s="71"/>
      <c r="E771" s="71"/>
      <c r="F771" s="71"/>
      <c r="G771" s="71"/>
      <c r="H771" s="71"/>
      <c r="I771" s="71"/>
      <c r="J771" s="71"/>
    </row>
    <row r="772" spans="1:10">
      <c r="A772" s="71"/>
      <c r="B772" s="72"/>
      <c r="C772" s="71"/>
      <c r="D772" s="71"/>
      <c r="E772" s="71"/>
      <c r="F772" s="71"/>
      <c r="G772" s="71"/>
      <c r="H772" s="71"/>
      <c r="I772" s="71"/>
      <c r="J772" s="71"/>
    </row>
    <row r="773" spans="1:10">
      <c r="A773" s="71"/>
      <c r="B773" s="72"/>
      <c r="C773" s="71"/>
      <c r="D773" s="71"/>
      <c r="E773" s="71"/>
      <c r="F773" s="71"/>
      <c r="G773" s="71"/>
      <c r="H773" s="71"/>
      <c r="I773" s="71"/>
      <c r="J773" s="71"/>
    </row>
    <row r="774" spans="1:10">
      <c r="A774" s="71"/>
      <c r="B774" s="72"/>
      <c r="C774" s="71"/>
      <c r="D774" s="71"/>
      <c r="E774" s="71"/>
      <c r="F774" s="71"/>
      <c r="G774" s="71"/>
      <c r="H774" s="71"/>
      <c r="I774" s="71"/>
      <c r="J774" s="71"/>
    </row>
    <row r="775" spans="1:10">
      <c r="A775" s="71"/>
      <c r="B775" s="72"/>
      <c r="C775" s="71"/>
      <c r="D775" s="71"/>
      <c r="E775" s="71"/>
      <c r="F775" s="71"/>
      <c r="G775" s="71"/>
      <c r="H775" s="71"/>
      <c r="I775" s="71"/>
      <c r="J775" s="71"/>
    </row>
    <row r="776" spans="1:10">
      <c r="A776" s="71"/>
      <c r="B776" s="72"/>
      <c r="C776" s="71"/>
      <c r="D776" s="71"/>
      <c r="E776" s="71"/>
      <c r="F776" s="71"/>
      <c r="G776" s="71"/>
      <c r="H776" s="71"/>
      <c r="I776" s="71"/>
      <c r="J776" s="71"/>
    </row>
    <row r="777" spans="1:10">
      <c r="A777" s="71"/>
      <c r="B777" s="72"/>
      <c r="C777" s="71"/>
      <c r="D777" s="71"/>
      <c r="E777" s="71"/>
      <c r="F777" s="71"/>
      <c r="G777" s="71"/>
      <c r="H777" s="71"/>
      <c r="I777" s="71"/>
      <c r="J777" s="71"/>
    </row>
    <row r="778" spans="1:10">
      <c r="A778" s="71"/>
      <c r="B778" s="72"/>
      <c r="C778" s="71"/>
      <c r="D778" s="71"/>
      <c r="E778" s="71"/>
      <c r="F778" s="71"/>
      <c r="G778" s="71"/>
      <c r="H778" s="71"/>
      <c r="I778" s="71"/>
      <c r="J778" s="71"/>
    </row>
    <row r="779" spans="1:10">
      <c r="A779" s="71"/>
      <c r="B779" s="72"/>
      <c r="C779" s="71"/>
      <c r="D779" s="71"/>
      <c r="E779" s="71"/>
      <c r="F779" s="71"/>
      <c r="G779" s="71"/>
      <c r="H779" s="71"/>
      <c r="I779" s="71"/>
      <c r="J779" s="71"/>
    </row>
    <row r="780" spans="1:10">
      <c r="A780" s="71"/>
      <c r="B780" s="72"/>
      <c r="C780" s="71"/>
      <c r="D780" s="71"/>
      <c r="E780" s="71"/>
      <c r="F780" s="71"/>
      <c r="G780" s="71"/>
      <c r="H780" s="71"/>
      <c r="I780" s="71"/>
      <c r="J780" s="71"/>
    </row>
    <row r="781" spans="1:10">
      <c r="A781" s="71"/>
      <c r="B781" s="72"/>
      <c r="C781" s="71"/>
      <c r="D781" s="71"/>
      <c r="E781" s="71"/>
      <c r="F781" s="71"/>
      <c r="G781" s="71"/>
      <c r="H781" s="71"/>
      <c r="I781" s="71"/>
      <c r="J781" s="71"/>
    </row>
    <row r="782" spans="1:10">
      <c r="A782" s="71"/>
      <c r="B782" s="72"/>
      <c r="C782" s="71"/>
      <c r="D782" s="71"/>
      <c r="E782" s="71"/>
      <c r="F782" s="71"/>
      <c r="G782" s="71"/>
      <c r="H782" s="71"/>
      <c r="I782" s="71"/>
      <c r="J782" s="71"/>
    </row>
    <row r="783" spans="1:10">
      <c r="A783" s="71"/>
      <c r="B783" s="72"/>
      <c r="C783" s="71"/>
      <c r="D783" s="71"/>
      <c r="E783" s="71"/>
      <c r="F783" s="71"/>
      <c r="G783" s="71"/>
      <c r="H783" s="71"/>
      <c r="I783" s="71"/>
      <c r="J783" s="71"/>
    </row>
    <row r="784" spans="1:10">
      <c r="A784" s="71"/>
      <c r="B784" s="72"/>
      <c r="C784" s="71"/>
      <c r="D784" s="71"/>
      <c r="E784" s="71"/>
      <c r="F784" s="71"/>
      <c r="G784" s="71"/>
      <c r="H784" s="71"/>
      <c r="I784" s="71"/>
      <c r="J784" s="71"/>
    </row>
    <row r="785" spans="1:10">
      <c r="A785" s="71"/>
      <c r="B785" s="72"/>
      <c r="C785" s="71"/>
      <c r="D785" s="71"/>
      <c r="E785" s="71"/>
      <c r="F785" s="71"/>
      <c r="G785" s="71"/>
      <c r="H785" s="71"/>
      <c r="I785" s="71"/>
      <c r="J785" s="71"/>
    </row>
    <row r="786" spans="1:10">
      <c r="A786" s="71"/>
      <c r="B786" s="72"/>
      <c r="C786" s="71"/>
      <c r="D786" s="71"/>
      <c r="E786" s="71"/>
      <c r="F786" s="71"/>
      <c r="G786" s="71"/>
      <c r="H786" s="71"/>
      <c r="I786" s="71"/>
      <c r="J786" s="71"/>
    </row>
    <row r="787" spans="1:10">
      <c r="A787" s="71"/>
      <c r="B787" s="72"/>
      <c r="C787" s="71"/>
      <c r="D787" s="71"/>
      <c r="E787" s="71"/>
      <c r="F787" s="71"/>
      <c r="G787" s="71"/>
      <c r="H787" s="71"/>
      <c r="I787" s="71"/>
      <c r="J787" s="71"/>
    </row>
    <row r="788" spans="1:10">
      <c r="A788" s="71"/>
      <c r="B788" s="72"/>
      <c r="C788" s="71"/>
      <c r="D788" s="71"/>
      <c r="E788" s="71"/>
      <c r="F788" s="71"/>
      <c r="G788" s="71"/>
      <c r="H788" s="71"/>
      <c r="I788" s="71"/>
      <c r="J788" s="71"/>
    </row>
    <row r="789" spans="1:10">
      <c r="A789" s="71"/>
      <c r="B789" s="72"/>
      <c r="C789" s="71"/>
      <c r="D789" s="71"/>
      <c r="E789" s="71"/>
      <c r="F789" s="71"/>
      <c r="G789" s="71"/>
      <c r="H789" s="71"/>
      <c r="I789" s="71"/>
      <c r="J789" s="71"/>
    </row>
    <row r="790" spans="1:10">
      <c r="A790" s="71"/>
      <c r="B790" s="72"/>
      <c r="C790" s="71"/>
      <c r="D790" s="71"/>
      <c r="E790" s="71"/>
      <c r="F790" s="71"/>
      <c r="G790" s="71"/>
      <c r="H790" s="71"/>
      <c r="I790" s="71"/>
      <c r="J790" s="71"/>
    </row>
    <row r="791" spans="1:10">
      <c r="A791" s="71"/>
      <c r="B791" s="72"/>
      <c r="C791" s="71"/>
      <c r="D791" s="71"/>
      <c r="E791" s="71"/>
      <c r="F791" s="71"/>
      <c r="G791" s="71"/>
      <c r="H791" s="71"/>
      <c r="I791" s="71"/>
      <c r="J791" s="71"/>
    </row>
    <row r="792" spans="1:10">
      <c r="A792" s="71"/>
      <c r="B792" s="72"/>
      <c r="C792" s="71"/>
      <c r="D792" s="71"/>
      <c r="E792" s="71"/>
      <c r="F792" s="71"/>
      <c r="G792" s="71"/>
      <c r="H792" s="71"/>
      <c r="I792" s="71"/>
      <c r="J792" s="71"/>
    </row>
    <row r="793" spans="1:10">
      <c r="A793" s="71"/>
      <c r="B793" s="72"/>
      <c r="C793" s="71"/>
      <c r="D793" s="71"/>
      <c r="E793" s="71"/>
      <c r="F793" s="71"/>
      <c r="G793" s="71"/>
      <c r="H793" s="71"/>
      <c r="I793" s="71"/>
      <c r="J793" s="71"/>
    </row>
    <row r="794" spans="1:10">
      <c r="A794" s="71"/>
      <c r="B794" s="72"/>
      <c r="C794" s="71"/>
      <c r="D794" s="71"/>
      <c r="E794" s="71"/>
      <c r="F794" s="71"/>
      <c r="G794" s="71"/>
      <c r="H794" s="71"/>
      <c r="I794" s="71"/>
      <c r="J794" s="71"/>
    </row>
    <row r="795" spans="1:10">
      <c r="A795" s="71"/>
      <c r="B795" s="72"/>
      <c r="C795" s="71"/>
      <c r="D795" s="71"/>
      <c r="E795" s="71"/>
      <c r="F795" s="71"/>
      <c r="G795" s="71"/>
      <c r="H795" s="71"/>
      <c r="I795" s="71"/>
      <c r="J795" s="71"/>
    </row>
    <row r="796" spans="1:10">
      <c r="A796" s="71"/>
      <c r="B796" s="72"/>
      <c r="C796" s="71"/>
      <c r="D796" s="71"/>
      <c r="E796" s="71"/>
      <c r="F796" s="71"/>
      <c r="G796" s="71"/>
      <c r="H796" s="71"/>
      <c r="I796" s="71"/>
      <c r="J796" s="71"/>
    </row>
    <row r="797" spans="1:10">
      <c r="A797" s="71"/>
      <c r="B797" s="72"/>
      <c r="C797" s="71"/>
      <c r="D797" s="71"/>
      <c r="E797" s="71"/>
      <c r="F797" s="71"/>
      <c r="G797" s="71"/>
      <c r="H797" s="71"/>
      <c r="I797" s="71"/>
      <c r="J797" s="71"/>
    </row>
    <row r="798" spans="1:10">
      <c r="A798" s="71"/>
      <c r="B798" s="72"/>
      <c r="C798" s="71"/>
      <c r="D798" s="71"/>
      <c r="E798" s="71"/>
      <c r="F798" s="71"/>
      <c r="G798" s="71"/>
      <c r="H798" s="71"/>
      <c r="I798" s="71"/>
      <c r="J798" s="71"/>
    </row>
    <row r="799" spans="1:10">
      <c r="A799" s="71"/>
      <c r="B799" s="72"/>
      <c r="C799" s="71"/>
      <c r="D799" s="71"/>
      <c r="E799" s="71"/>
      <c r="F799" s="71"/>
      <c r="G799" s="71"/>
      <c r="H799" s="71"/>
      <c r="I799" s="71"/>
      <c r="J799" s="71"/>
    </row>
    <row r="800" spans="1:10">
      <c r="A800" s="71"/>
      <c r="B800" s="72"/>
      <c r="C800" s="71"/>
      <c r="D800" s="71"/>
      <c r="E800" s="71"/>
      <c r="F800" s="71"/>
      <c r="G800" s="71"/>
      <c r="H800" s="71"/>
      <c r="I800" s="71"/>
      <c r="J800" s="71"/>
    </row>
    <row r="801" spans="1:10">
      <c r="A801" s="71"/>
      <c r="B801" s="72"/>
      <c r="C801" s="71"/>
      <c r="D801" s="71"/>
      <c r="E801" s="71"/>
      <c r="F801" s="71"/>
      <c r="G801" s="71"/>
      <c r="H801" s="71"/>
      <c r="I801" s="71"/>
      <c r="J801" s="71"/>
    </row>
    <row r="802" spans="1:10">
      <c r="A802" s="71"/>
      <c r="B802" s="72"/>
      <c r="C802" s="71"/>
      <c r="D802" s="71"/>
      <c r="E802" s="71"/>
      <c r="F802" s="71"/>
      <c r="G802" s="71"/>
      <c r="H802" s="71"/>
      <c r="I802" s="71"/>
      <c r="J802" s="71"/>
    </row>
    <row r="803" spans="1:10">
      <c r="A803" s="71"/>
      <c r="B803" s="72"/>
      <c r="C803" s="71"/>
      <c r="D803" s="71"/>
      <c r="E803" s="71"/>
      <c r="F803" s="71"/>
      <c r="G803" s="71"/>
      <c r="H803" s="71"/>
      <c r="I803" s="71"/>
      <c r="J803" s="71"/>
    </row>
    <row r="804" spans="1:10">
      <c r="A804" s="71"/>
      <c r="B804" s="72"/>
      <c r="C804" s="71"/>
      <c r="D804" s="71"/>
      <c r="E804" s="71"/>
      <c r="F804" s="71"/>
      <c r="G804" s="71"/>
      <c r="H804" s="71"/>
      <c r="I804" s="71"/>
      <c r="J804" s="71"/>
    </row>
    <row r="805" spans="1:10">
      <c r="A805" s="71"/>
      <c r="B805" s="72"/>
      <c r="C805" s="71"/>
      <c r="D805" s="71"/>
      <c r="E805" s="71"/>
      <c r="F805" s="71"/>
      <c r="G805" s="71"/>
      <c r="H805" s="71"/>
      <c r="I805" s="71"/>
      <c r="J805" s="71"/>
    </row>
    <row r="806" spans="1:10">
      <c r="A806" s="71"/>
      <c r="B806" s="72"/>
      <c r="C806" s="71"/>
      <c r="D806" s="71"/>
      <c r="E806" s="71"/>
      <c r="F806" s="71"/>
      <c r="G806" s="71"/>
      <c r="H806" s="71"/>
      <c r="I806" s="71"/>
      <c r="J806" s="71"/>
    </row>
    <row r="807" spans="1:10">
      <c r="A807" s="71"/>
      <c r="B807" s="72"/>
      <c r="C807" s="71"/>
      <c r="D807" s="71"/>
      <c r="E807" s="71"/>
      <c r="F807" s="71"/>
      <c r="G807" s="71"/>
      <c r="H807" s="71"/>
      <c r="I807" s="71"/>
      <c r="J807" s="71"/>
    </row>
    <row r="808" spans="1:10">
      <c r="A808" s="71"/>
      <c r="B808" s="72"/>
      <c r="C808" s="71"/>
      <c r="D808" s="71"/>
      <c r="E808" s="71"/>
      <c r="F808" s="71"/>
      <c r="G808" s="71"/>
      <c r="H808" s="71"/>
      <c r="I808" s="71"/>
      <c r="J808" s="71"/>
    </row>
    <row r="809" spans="1:10">
      <c r="A809" s="71"/>
      <c r="B809" s="72"/>
      <c r="C809" s="71"/>
      <c r="D809" s="71"/>
      <c r="E809" s="71"/>
      <c r="F809" s="71"/>
      <c r="G809" s="71"/>
      <c r="H809" s="71"/>
      <c r="I809" s="71"/>
      <c r="J809" s="71"/>
    </row>
    <row r="810" spans="1:10">
      <c r="A810" s="71"/>
      <c r="B810" s="72"/>
      <c r="C810" s="71"/>
      <c r="D810" s="71"/>
      <c r="E810" s="71"/>
      <c r="F810" s="71"/>
      <c r="G810" s="71"/>
      <c r="H810" s="71"/>
      <c r="I810" s="71"/>
      <c r="J810" s="71"/>
    </row>
    <row r="811" spans="1:10">
      <c r="A811" s="71"/>
      <c r="B811" s="72"/>
      <c r="C811" s="71"/>
      <c r="D811" s="71"/>
      <c r="E811" s="71"/>
      <c r="F811" s="71"/>
      <c r="G811" s="71"/>
      <c r="H811" s="71"/>
      <c r="I811" s="71"/>
      <c r="J811" s="71"/>
    </row>
    <row r="812" spans="1:10">
      <c r="A812" s="71"/>
      <c r="B812" s="72"/>
      <c r="C812" s="71"/>
      <c r="D812" s="71"/>
      <c r="E812" s="71"/>
      <c r="F812" s="71"/>
      <c r="G812" s="71"/>
      <c r="H812" s="71"/>
      <c r="I812" s="71"/>
      <c r="J812" s="71"/>
    </row>
    <row r="813" spans="1:10">
      <c r="A813" s="71"/>
      <c r="B813" s="72"/>
      <c r="C813" s="71"/>
      <c r="D813" s="71"/>
      <c r="E813" s="71"/>
      <c r="F813" s="71"/>
      <c r="G813" s="71"/>
      <c r="H813" s="71"/>
      <c r="I813" s="71"/>
      <c r="J813" s="71"/>
    </row>
    <row r="814" spans="1:10">
      <c r="A814" s="71"/>
      <c r="B814" s="72"/>
      <c r="C814" s="71"/>
      <c r="D814" s="71"/>
      <c r="E814" s="71"/>
      <c r="F814" s="71"/>
      <c r="G814" s="71"/>
      <c r="H814" s="71"/>
      <c r="I814" s="71"/>
      <c r="J814" s="71"/>
    </row>
    <row r="815" spans="1:10">
      <c r="A815" s="71"/>
      <c r="B815" s="72"/>
      <c r="C815" s="71"/>
      <c r="D815" s="71"/>
      <c r="E815" s="71"/>
      <c r="F815" s="71"/>
      <c r="G815" s="71"/>
      <c r="H815" s="71"/>
      <c r="I815" s="71"/>
      <c r="J815" s="71"/>
    </row>
    <row r="816" spans="1:10">
      <c r="A816" s="71"/>
      <c r="B816" s="72"/>
      <c r="C816" s="71"/>
      <c r="D816" s="71"/>
      <c r="E816" s="71"/>
      <c r="F816" s="71"/>
      <c r="G816" s="71"/>
      <c r="H816" s="71"/>
      <c r="I816" s="71"/>
      <c r="J816" s="71"/>
    </row>
    <row r="817" spans="1:10">
      <c r="A817" s="71"/>
      <c r="B817" s="72"/>
      <c r="C817" s="71"/>
      <c r="D817" s="71"/>
      <c r="E817" s="71"/>
      <c r="F817" s="71"/>
      <c r="G817" s="71"/>
      <c r="H817" s="71"/>
      <c r="I817" s="71"/>
      <c r="J817" s="71"/>
    </row>
    <row r="818" spans="1:10">
      <c r="A818" s="71"/>
      <c r="B818" s="72"/>
      <c r="C818" s="71"/>
      <c r="D818" s="71"/>
      <c r="E818" s="71"/>
      <c r="F818" s="71"/>
      <c r="G818" s="71"/>
      <c r="H818" s="71"/>
      <c r="I818" s="71"/>
      <c r="J818" s="71"/>
    </row>
    <row r="819" spans="1:10">
      <c r="A819" s="71"/>
      <c r="B819" s="72"/>
      <c r="C819" s="71"/>
      <c r="D819" s="71"/>
      <c r="E819" s="71"/>
      <c r="F819" s="71"/>
      <c r="G819" s="71"/>
      <c r="H819" s="71"/>
      <c r="I819" s="71"/>
      <c r="J819" s="71"/>
    </row>
    <row r="820" spans="1:10">
      <c r="A820" s="71"/>
      <c r="B820" s="72"/>
      <c r="C820" s="71"/>
      <c r="D820" s="71"/>
      <c r="E820" s="71"/>
      <c r="F820" s="71"/>
      <c r="G820" s="71"/>
      <c r="H820" s="71"/>
      <c r="I820" s="71"/>
      <c r="J820" s="71"/>
    </row>
    <row r="821" spans="1:10">
      <c r="A821" s="71"/>
      <c r="B821" s="72"/>
      <c r="C821" s="71"/>
      <c r="D821" s="71"/>
      <c r="E821" s="71"/>
      <c r="F821" s="71"/>
      <c r="G821" s="71"/>
      <c r="H821" s="71"/>
      <c r="I821" s="71"/>
      <c r="J821" s="71"/>
    </row>
    <row r="822" spans="1:10">
      <c r="A822" s="71"/>
      <c r="B822" s="72"/>
      <c r="C822" s="71"/>
      <c r="D822" s="71"/>
      <c r="E822" s="71"/>
      <c r="F822" s="71"/>
      <c r="G822" s="71"/>
      <c r="H822" s="71"/>
      <c r="I822" s="71"/>
      <c r="J822" s="71"/>
    </row>
    <row r="823" spans="1:10">
      <c r="A823" s="71"/>
      <c r="B823" s="72"/>
      <c r="C823" s="71"/>
      <c r="D823" s="71"/>
      <c r="E823" s="71"/>
      <c r="F823" s="71"/>
      <c r="G823" s="71"/>
      <c r="H823" s="71"/>
      <c r="I823" s="71"/>
      <c r="J823" s="71"/>
    </row>
    <row r="824" spans="1:10">
      <c r="A824" s="71"/>
      <c r="B824" s="72"/>
      <c r="C824" s="71"/>
      <c r="D824" s="71"/>
      <c r="E824" s="71"/>
      <c r="F824" s="71"/>
      <c r="G824" s="71"/>
      <c r="H824" s="71"/>
      <c r="I824" s="71"/>
      <c r="J824" s="71"/>
    </row>
    <row r="825" spans="1:10">
      <c r="A825" s="71"/>
      <c r="B825" s="72"/>
      <c r="C825" s="71"/>
      <c r="D825" s="71"/>
      <c r="E825" s="71"/>
      <c r="F825" s="71"/>
      <c r="G825" s="71"/>
      <c r="H825" s="71"/>
      <c r="I825" s="71"/>
      <c r="J825" s="71"/>
    </row>
    <row r="826" spans="1:10">
      <c r="A826" s="71"/>
      <c r="B826" s="72"/>
      <c r="C826" s="71"/>
      <c r="D826" s="71"/>
      <c r="E826" s="71"/>
      <c r="F826" s="71"/>
      <c r="G826" s="71"/>
      <c r="H826" s="71"/>
      <c r="I826" s="71"/>
      <c r="J826" s="71"/>
    </row>
    <row r="827" spans="1:10">
      <c r="A827" s="71"/>
      <c r="B827" s="72"/>
      <c r="C827" s="71"/>
      <c r="D827" s="71"/>
      <c r="E827" s="71"/>
      <c r="F827" s="71"/>
      <c r="G827" s="71"/>
      <c r="H827" s="71"/>
      <c r="I827" s="71"/>
      <c r="J827" s="71"/>
    </row>
    <row r="828" spans="1:10">
      <c r="A828" s="71"/>
      <c r="B828" s="72"/>
      <c r="C828" s="71"/>
      <c r="D828" s="71"/>
      <c r="E828" s="71"/>
      <c r="F828" s="71"/>
      <c r="G828" s="71"/>
      <c r="H828" s="71"/>
      <c r="I828" s="71"/>
      <c r="J828" s="71"/>
    </row>
    <row r="829" spans="1:10">
      <c r="A829" s="71"/>
      <c r="B829" s="72"/>
      <c r="C829" s="71"/>
      <c r="D829" s="71"/>
      <c r="E829" s="71"/>
      <c r="F829" s="71"/>
      <c r="G829" s="71"/>
      <c r="H829" s="71"/>
      <c r="I829" s="71"/>
      <c r="J829" s="71"/>
    </row>
    <row r="830" spans="1:10">
      <c r="A830" s="71"/>
      <c r="B830" s="72"/>
      <c r="C830" s="71"/>
      <c r="D830" s="71"/>
      <c r="E830" s="71"/>
      <c r="F830" s="71"/>
      <c r="G830" s="71"/>
      <c r="H830" s="71"/>
      <c r="I830" s="71"/>
      <c r="J830" s="71"/>
    </row>
    <row r="831" spans="1:10">
      <c r="A831" s="71"/>
      <c r="B831" s="72"/>
      <c r="C831" s="71"/>
      <c r="D831" s="71"/>
      <c r="E831" s="71"/>
      <c r="F831" s="71"/>
      <c r="G831" s="71"/>
      <c r="H831" s="71"/>
      <c r="I831" s="71"/>
      <c r="J831" s="71"/>
    </row>
    <row r="832" spans="1:10">
      <c r="A832" s="71"/>
      <c r="B832" s="72"/>
      <c r="C832" s="71"/>
      <c r="D832" s="71"/>
      <c r="E832" s="71"/>
      <c r="F832" s="71"/>
      <c r="G832" s="71"/>
      <c r="H832" s="71"/>
      <c r="I832" s="71"/>
      <c r="J832" s="71"/>
    </row>
    <row r="833" spans="1:10">
      <c r="A833" s="71"/>
      <c r="B833" s="72"/>
      <c r="C833" s="71"/>
      <c r="D833" s="71"/>
      <c r="E833" s="71"/>
      <c r="F833" s="71"/>
      <c r="G833" s="71"/>
      <c r="H833" s="71"/>
      <c r="I833" s="71"/>
      <c r="J833" s="71"/>
    </row>
    <row r="834" spans="1:10">
      <c r="A834" s="71"/>
      <c r="B834" s="72"/>
      <c r="C834" s="71"/>
      <c r="D834" s="71"/>
      <c r="E834" s="71"/>
      <c r="F834" s="71"/>
      <c r="G834" s="71"/>
      <c r="H834" s="71"/>
      <c r="I834" s="71"/>
      <c r="J834" s="71"/>
    </row>
    <row r="835" spans="1:10">
      <c r="A835" s="71"/>
      <c r="B835" s="72"/>
      <c r="C835" s="71"/>
      <c r="D835" s="71"/>
      <c r="E835" s="71"/>
      <c r="F835" s="71"/>
      <c r="G835" s="71"/>
      <c r="H835" s="71"/>
      <c r="I835" s="71"/>
      <c r="J835" s="71"/>
    </row>
    <row r="836" spans="1:10">
      <c r="A836" s="71"/>
      <c r="B836" s="72"/>
      <c r="C836" s="71"/>
      <c r="D836" s="71"/>
      <c r="E836" s="71"/>
      <c r="F836" s="71"/>
      <c r="G836" s="71"/>
      <c r="H836" s="71"/>
      <c r="I836" s="71"/>
      <c r="J836" s="71"/>
    </row>
    <row r="837" spans="1:10">
      <c r="A837" s="71"/>
      <c r="B837" s="72"/>
      <c r="C837" s="71"/>
      <c r="D837" s="71"/>
      <c r="E837" s="71"/>
      <c r="F837" s="71"/>
      <c r="G837" s="71"/>
      <c r="H837" s="71"/>
      <c r="I837" s="71"/>
      <c r="J837" s="71"/>
    </row>
    <row r="838" spans="1:10">
      <c r="A838" s="71"/>
      <c r="B838" s="72"/>
      <c r="C838" s="71"/>
      <c r="D838" s="71"/>
      <c r="E838" s="71"/>
      <c r="F838" s="71"/>
      <c r="G838" s="71"/>
      <c r="H838" s="71"/>
      <c r="I838" s="71"/>
      <c r="J838" s="71"/>
    </row>
    <row r="839" spans="1:10">
      <c r="A839" s="71"/>
      <c r="B839" s="72"/>
      <c r="C839" s="71"/>
      <c r="D839" s="71"/>
      <c r="E839" s="71"/>
      <c r="F839" s="71"/>
      <c r="G839" s="71"/>
      <c r="H839" s="71"/>
      <c r="I839" s="71"/>
      <c r="J839" s="71"/>
    </row>
    <row r="840" spans="1:10">
      <c r="A840" s="71"/>
      <c r="B840" s="72"/>
      <c r="C840" s="71"/>
      <c r="D840" s="71"/>
      <c r="E840" s="71"/>
      <c r="F840" s="71"/>
      <c r="G840" s="71"/>
      <c r="H840" s="71"/>
      <c r="I840" s="71"/>
      <c r="J840" s="71"/>
    </row>
    <row r="841" spans="1:10">
      <c r="A841" s="71"/>
      <c r="B841" s="72"/>
      <c r="C841" s="71"/>
      <c r="D841" s="71"/>
      <c r="E841" s="71"/>
      <c r="F841" s="71"/>
      <c r="G841" s="71"/>
      <c r="H841" s="71"/>
      <c r="I841" s="71"/>
      <c r="J841" s="71"/>
    </row>
    <row r="842" spans="1:10">
      <c r="A842" s="71"/>
      <c r="B842" s="72"/>
      <c r="C842" s="71"/>
      <c r="D842" s="71"/>
      <c r="E842" s="71"/>
      <c r="F842" s="71"/>
      <c r="G842" s="71"/>
      <c r="H842" s="71"/>
      <c r="I842" s="71"/>
      <c r="J842" s="71"/>
    </row>
    <row r="843" spans="1:10">
      <c r="A843" s="71"/>
      <c r="B843" s="72"/>
      <c r="C843" s="71"/>
      <c r="D843" s="71"/>
      <c r="E843" s="71"/>
      <c r="F843" s="71"/>
      <c r="G843" s="71"/>
      <c r="H843" s="71"/>
      <c r="I843" s="71"/>
      <c r="J843" s="71"/>
    </row>
    <row r="844" spans="1:10">
      <c r="A844" s="71"/>
      <c r="B844" s="72"/>
      <c r="C844" s="71"/>
      <c r="D844" s="71"/>
      <c r="E844" s="71"/>
      <c r="F844" s="71"/>
      <c r="G844" s="71"/>
      <c r="H844" s="71"/>
      <c r="I844" s="71"/>
      <c r="J844" s="71"/>
    </row>
    <row r="845" spans="1:10">
      <c r="A845" s="71"/>
      <c r="B845" s="72"/>
      <c r="C845" s="71"/>
      <c r="D845" s="71"/>
      <c r="E845" s="71"/>
      <c r="F845" s="71"/>
      <c r="G845" s="71"/>
      <c r="H845" s="71"/>
      <c r="I845" s="71"/>
      <c r="J845" s="71"/>
    </row>
    <row r="846" spans="1:10">
      <c r="A846" s="71"/>
      <c r="B846" s="72"/>
      <c r="C846" s="71"/>
      <c r="D846" s="71"/>
      <c r="E846" s="71"/>
      <c r="F846" s="71"/>
      <c r="G846" s="71"/>
      <c r="H846" s="71"/>
      <c r="I846" s="71"/>
      <c r="J846" s="71"/>
    </row>
    <row r="847" spans="1:10">
      <c r="A847" s="71"/>
      <c r="B847" s="72"/>
      <c r="C847" s="71"/>
      <c r="D847" s="71"/>
      <c r="E847" s="71"/>
      <c r="F847" s="71"/>
      <c r="G847" s="71"/>
      <c r="H847" s="71"/>
      <c r="I847" s="71"/>
      <c r="J847" s="71"/>
    </row>
    <row r="848" spans="1:10">
      <c r="A848" s="71"/>
      <c r="B848" s="72"/>
      <c r="C848" s="71"/>
      <c r="D848" s="71"/>
      <c r="E848" s="71"/>
      <c r="F848" s="71"/>
      <c r="G848" s="71"/>
      <c r="H848" s="71"/>
      <c r="I848" s="71"/>
      <c r="J848" s="71"/>
    </row>
    <row r="849" spans="1:10">
      <c r="A849" s="71"/>
      <c r="B849" s="72"/>
      <c r="C849" s="71"/>
      <c r="D849" s="71"/>
      <c r="E849" s="71"/>
      <c r="F849" s="71"/>
      <c r="G849" s="71"/>
      <c r="H849" s="71"/>
      <c r="I849" s="71"/>
      <c r="J849" s="71"/>
    </row>
    <row r="850" spans="1:10">
      <c r="A850" s="71"/>
      <c r="B850" s="72"/>
      <c r="C850" s="71"/>
      <c r="D850" s="71"/>
      <c r="E850" s="71"/>
      <c r="F850" s="71"/>
      <c r="G850" s="71"/>
      <c r="H850" s="71"/>
      <c r="I850" s="71"/>
      <c r="J850" s="71"/>
    </row>
    <row r="851" spans="1:10">
      <c r="A851" s="71"/>
      <c r="B851" s="72"/>
      <c r="C851" s="71"/>
      <c r="D851" s="71"/>
      <c r="E851" s="71"/>
      <c r="F851" s="71"/>
      <c r="G851" s="71"/>
      <c r="H851" s="71"/>
      <c r="I851" s="71"/>
      <c r="J851" s="71"/>
    </row>
    <row r="852" spans="1:10">
      <c r="A852" s="71"/>
      <c r="B852" s="72"/>
      <c r="C852" s="71"/>
      <c r="D852" s="71"/>
      <c r="E852" s="71"/>
      <c r="F852" s="71"/>
      <c r="G852" s="71"/>
      <c r="H852" s="71"/>
      <c r="I852" s="71"/>
      <c r="J852" s="71"/>
    </row>
    <row r="853" spans="1:10">
      <c r="A853" s="71"/>
      <c r="B853" s="72"/>
      <c r="C853" s="71"/>
      <c r="D853" s="71"/>
      <c r="E853" s="71"/>
      <c r="F853" s="71"/>
      <c r="G853" s="71"/>
      <c r="H853" s="71"/>
      <c r="I853" s="71"/>
      <c r="J853" s="71"/>
    </row>
    <row r="854" spans="1:10">
      <c r="A854" s="71"/>
      <c r="B854" s="72"/>
      <c r="C854" s="71"/>
      <c r="D854" s="71"/>
      <c r="E854" s="71"/>
      <c r="F854" s="71"/>
      <c r="G854" s="71"/>
      <c r="H854" s="71"/>
      <c r="I854" s="71"/>
      <c r="J854" s="71"/>
    </row>
    <row r="855" spans="1:10">
      <c r="A855" s="71"/>
      <c r="B855" s="72"/>
      <c r="C855" s="71"/>
      <c r="D855" s="71"/>
      <c r="E855" s="71"/>
      <c r="F855" s="71"/>
      <c r="G855" s="71"/>
      <c r="H855" s="71"/>
      <c r="I855" s="71"/>
      <c r="J855" s="71"/>
    </row>
    <row r="856" spans="1:10">
      <c r="A856" s="71"/>
      <c r="B856" s="72"/>
      <c r="C856" s="71"/>
      <c r="D856" s="71"/>
      <c r="E856" s="71"/>
      <c r="F856" s="71"/>
      <c r="G856" s="71"/>
      <c r="H856" s="71"/>
      <c r="I856" s="71"/>
      <c r="J856" s="71"/>
    </row>
    <row r="857" spans="1:10">
      <c r="A857" s="71"/>
      <c r="B857" s="72"/>
      <c r="C857" s="71"/>
      <c r="D857" s="71"/>
      <c r="E857" s="71"/>
      <c r="F857" s="71"/>
      <c r="G857" s="71"/>
      <c r="H857" s="71"/>
      <c r="I857" s="71"/>
      <c r="J857" s="71"/>
    </row>
    <row r="858" spans="1:10">
      <c r="A858" s="71"/>
      <c r="B858" s="72"/>
      <c r="C858" s="71"/>
      <c r="D858" s="71"/>
      <c r="E858" s="71"/>
      <c r="F858" s="71"/>
      <c r="G858" s="71"/>
      <c r="H858" s="71"/>
      <c r="I858" s="71"/>
      <c r="J858" s="71"/>
    </row>
    <row r="859" spans="1:10">
      <c r="A859" s="71"/>
      <c r="B859" s="72"/>
      <c r="C859" s="71"/>
      <c r="D859" s="71"/>
      <c r="E859" s="71"/>
      <c r="F859" s="71"/>
      <c r="G859" s="71"/>
      <c r="H859" s="71"/>
      <c r="I859" s="71"/>
      <c r="J859" s="71"/>
    </row>
    <row r="860" spans="1:10">
      <c r="A860" s="71"/>
      <c r="B860" s="72"/>
      <c r="C860" s="71"/>
      <c r="D860" s="71"/>
      <c r="E860" s="71"/>
      <c r="F860" s="71"/>
      <c r="G860" s="71"/>
      <c r="H860" s="71"/>
      <c r="I860" s="71"/>
      <c r="J860" s="71"/>
    </row>
    <row r="861" spans="1:10">
      <c r="A861" s="71"/>
      <c r="B861" s="72"/>
      <c r="C861" s="71"/>
      <c r="D861" s="71"/>
      <c r="E861" s="71"/>
      <c r="F861" s="71"/>
      <c r="G861" s="71"/>
      <c r="H861" s="71"/>
      <c r="I861" s="71"/>
      <c r="J861" s="71"/>
    </row>
    <row r="862" spans="1:10">
      <c r="A862" s="71"/>
      <c r="B862" s="72"/>
      <c r="C862" s="71"/>
      <c r="D862" s="71"/>
      <c r="E862" s="71"/>
      <c r="F862" s="71"/>
      <c r="G862" s="71"/>
      <c r="H862" s="71"/>
      <c r="I862" s="71"/>
      <c r="J862" s="71"/>
    </row>
    <row r="863" spans="1:10">
      <c r="A863" s="71"/>
      <c r="B863" s="72"/>
      <c r="C863" s="71"/>
      <c r="D863" s="71"/>
      <c r="E863" s="71"/>
      <c r="F863" s="71"/>
      <c r="G863" s="71"/>
      <c r="H863" s="71"/>
      <c r="I863" s="71"/>
      <c r="J863" s="71"/>
    </row>
    <row r="864" spans="1:10">
      <c r="A864" s="71"/>
      <c r="B864" s="72"/>
      <c r="C864" s="71"/>
      <c r="D864" s="71"/>
      <c r="E864" s="71"/>
      <c r="F864" s="71"/>
      <c r="G864" s="71"/>
      <c r="H864" s="71"/>
      <c r="I864" s="71"/>
      <c r="J864" s="71"/>
    </row>
    <row r="865" spans="1:10">
      <c r="A865" s="71"/>
      <c r="B865" s="72"/>
      <c r="C865" s="71"/>
      <c r="D865" s="71"/>
      <c r="E865" s="71"/>
      <c r="F865" s="71"/>
      <c r="G865" s="71"/>
      <c r="H865" s="71"/>
      <c r="I865" s="71"/>
      <c r="J865" s="71"/>
    </row>
    <row r="866" spans="1:10">
      <c r="A866" s="71"/>
      <c r="B866" s="72"/>
      <c r="C866" s="71"/>
      <c r="D866" s="71"/>
      <c r="E866" s="71"/>
      <c r="F866" s="71"/>
      <c r="G866" s="71"/>
      <c r="H866" s="71"/>
      <c r="I866" s="71"/>
      <c r="J866" s="71"/>
    </row>
    <row r="867" spans="1:10">
      <c r="A867" s="71"/>
      <c r="B867" s="72"/>
      <c r="C867" s="71"/>
      <c r="D867" s="71"/>
      <c r="E867" s="71"/>
      <c r="F867" s="71"/>
      <c r="G867" s="71"/>
      <c r="H867" s="71"/>
      <c r="I867" s="71"/>
      <c r="J867" s="71"/>
    </row>
    <row r="868" spans="1:10">
      <c r="A868" s="71"/>
      <c r="B868" s="72"/>
      <c r="C868" s="71"/>
      <c r="D868" s="71"/>
      <c r="E868" s="71"/>
      <c r="F868" s="71"/>
      <c r="G868" s="71"/>
      <c r="H868" s="71"/>
      <c r="I868" s="71"/>
      <c r="J868" s="71"/>
    </row>
    <row r="869" spans="1:10">
      <c r="A869" s="71"/>
      <c r="B869" s="72"/>
      <c r="C869" s="71"/>
      <c r="D869" s="71"/>
      <c r="E869" s="71"/>
      <c r="F869" s="71"/>
      <c r="G869" s="71"/>
      <c r="H869" s="71"/>
      <c r="I869" s="71"/>
      <c r="J869" s="71"/>
    </row>
    <row r="870" spans="1:10">
      <c r="A870" s="71"/>
      <c r="B870" s="72"/>
      <c r="C870" s="71"/>
      <c r="D870" s="71"/>
      <c r="E870" s="71"/>
      <c r="F870" s="71"/>
      <c r="G870" s="71"/>
      <c r="H870" s="71"/>
      <c r="I870" s="71"/>
      <c r="J870" s="71"/>
    </row>
    <row r="871" spans="1:10">
      <c r="A871" s="71"/>
      <c r="B871" s="72"/>
      <c r="C871" s="71"/>
      <c r="D871" s="71"/>
      <c r="E871" s="71"/>
      <c r="F871" s="71"/>
      <c r="G871" s="71"/>
      <c r="H871" s="71"/>
      <c r="I871" s="71"/>
      <c r="J871" s="71"/>
    </row>
    <row r="872" spans="1:10">
      <c r="A872" s="71"/>
      <c r="B872" s="72"/>
      <c r="C872" s="71"/>
      <c r="D872" s="71"/>
      <c r="E872" s="71"/>
      <c r="F872" s="71"/>
      <c r="G872" s="71"/>
      <c r="H872" s="71"/>
      <c r="I872" s="71"/>
      <c r="J872" s="71"/>
    </row>
    <row r="873" spans="1:10">
      <c r="A873" s="71"/>
      <c r="B873" s="72"/>
      <c r="C873" s="71"/>
      <c r="D873" s="71"/>
      <c r="E873" s="71"/>
      <c r="F873" s="71"/>
      <c r="G873" s="71"/>
      <c r="H873" s="71"/>
      <c r="I873" s="71"/>
      <c r="J873" s="71"/>
    </row>
    <row r="874" spans="1:10">
      <c r="A874" s="71"/>
      <c r="B874" s="72"/>
      <c r="C874" s="71"/>
      <c r="D874" s="71"/>
      <c r="E874" s="71"/>
      <c r="F874" s="71"/>
      <c r="G874" s="71"/>
      <c r="H874" s="71"/>
      <c r="I874" s="71"/>
      <c r="J874" s="71"/>
    </row>
    <row r="875" spans="1:10">
      <c r="A875" s="71"/>
      <c r="B875" s="72"/>
      <c r="C875" s="71"/>
      <c r="D875" s="71"/>
      <c r="E875" s="71"/>
      <c r="F875" s="71"/>
      <c r="G875" s="71"/>
      <c r="H875" s="71"/>
      <c r="I875" s="71"/>
      <c r="J875" s="71"/>
    </row>
    <row r="876" spans="1:10">
      <c r="A876" s="71"/>
      <c r="B876" s="72"/>
      <c r="C876" s="71"/>
      <c r="D876" s="71"/>
      <c r="E876" s="71"/>
      <c r="F876" s="71"/>
      <c r="G876" s="71"/>
      <c r="H876" s="71"/>
      <c r="I876" s="71"/>
      <c r="J876" s="71"/>
    </row>
    <row r="877" spans="1:10">
      <c r="A877" s="71"/>
      <c r="B877" s="72"/>
      <c r="C877" s="71"/>
      <c r="D877" s="71"/>
      <c r="E877" s="71"/>
      <c r="F877" s="71"/>
      <c r="G877" s="71"/>
      <c r="H877" s="71"/>
      <c r="I877" s="71"/>
      <c r="J877" s="71"/>
    </row>
    <row r="878" spans="1:10">
      <c r="A878" s="71"/>
      <c r="B878" s="72"/>
      <c r="C878" s="71"/>
      <c r="D878" s="71"/>
      <c r="E878" s="71"/>
      <c r="F878" s="71"/>
      <c r="G878" s="71"/>
      <c r="H878" s="71"/>
      <c r="I878" s="71"/>
      <c r="J878" s="71"/>
    </row>
    <row r="879" spans="1:10">
      <c r="A879" s="71"/>
      <c r="B879" s="72"/>
      <c r="C879" s="71"/>
      <c r="D879" s="71"/>
      <c r="E879" s="71"/>
      <c r="F879" s="71"/>
      <c r="G879" s="71"/>
      <c r="H879" s="71"/>
      <c r="I879" s="71"/>
      <c r="J879" s="71"/>
    </row>
    <row r="880" spans="1:10">
      <c r="A880" s="71"/>
      <c r="B880" s="72"/>
      <c r="C880" s="71"/>
      <c r="D880" s="71"/>
      <c r="E880" s="71"/>
      <c r="F880" s="71"/>
      <c r="G880" s="71"/>
      <c r="H880" s="71"/>
      <c r="I880" s="71"/>
      <c r="J880" s="71"/>
    </row>
    <row r="881" spans="1:10">
      <c r="A881" s="71"/>
      <c r="B881" s="72"/>
      <c r="C881" s="71"/>
      <c r="D881" s="71"/>
      <c r="E881" s="71"/>
      <c r="F881" s="71"/>
      <c r="G881" s="71"/>
      <c r="H881" s="71"/>
      <c r="I881" s="71"/>
      <c r="J881" s="71"/>
    </row>
    <row r="882" spans="1:10">
      <c r="A882" s="71"/>
      <c r="B882" s="72"/>
      <c r="C882" s="71"/>
      <c r="D882" s="71"/>
      <c r="E882" s="71"/>
      <c r="F882" s="71"/>
      <c r="G882" s="71"/>
      <c r="H882" s="71"/>
      <c r="I882" s="71"/>
      <c r="J882" s="71"/>
    </row>
    <row r="883" spans="1:10">
      <c r="A883" s="71"/>
      <c r="B883" s="72"/>
      <c r="C883" s="71"/>
      <c r="D883" s="71"/>
      <c r="E883" s="71"/>
      <c r="F883" s="71"/>
      <c r="G883" s="71"/>
      <c r="H883" s="71"/>
      <c r="I883" s="71"/>
      <c r="J883" s="71"/>
    </row>
    <row r="884" spans="1:10">
      <c r="A884" s="71"/>
      <c r="B884" s="72"/>
      <c r="C884" s="71"/>
      <c r="D884" s="71"/>
      <c r="E884" s="71"/>
      <c r="F884" s="71"/>
      <c r="G884" s="71"/>
      <c r="H884" s="71"/>
      <c r="I884" s="71"/>
      <c r="J884" s="71"/>
    </row>
    <row r="885" spans="1:10">
      <c r="A885" s="71"/>
      <c r="B885" s="72"/>
      <c r="C885" s="71"/>
      <c r="D885" s="71"/>
      <c r="E885" s="71"/>
      <c r="F885" s="71"/>
      <c r="G885" s="71"/>
      <c r="H885" s="71"/>
      <c r="I885" s="71"/>
      <c r="J885" s="71"/>
    </row>
    <row r="886" spans="1:10">
      <c r="A886" s="71"/>
      <c r="B886" s="72"/>
      <c r="C886" s="71"/>
      <c r="D886" s="71"/>
      <c r="E886" s="71"/>
      <c r="F886" s="71"/>
      <c r="G886" s="71"/>
      <c r="H886" s="71"/>
      <c r="I886" s="71"/>
      <c r="J886" s="71"/>
    </row>
    <row r="887" spans="1:10">
      <c r="A887" s="71"/>
      <c r="B887" s="72"/>
      <c r="C887" s="71"/>
      <c r="D887" s="71"/>
      <c r="E887" s="71"/>
      <c r="F887" s="71"/>
      <c r="G887" s="71"/>
      <c r="H887" s="71"/>
      <c r="I887" s="71"/>
      <c r="J887" s="71"/>
    </row>
    <row r="888" spans="1:10">
      <c r="A888" s="71"/>
      <c r="B888" s="72"/>
      <c r="C888" s="71"/>
      <c r="D888" s="71"/>
      <c r="E888" s="71"/>
      <c r="F888" s="71"/>
      <c r="G888" s="71"/>
      <c r="H888" s="71"/>
      <c r="I888" s="71"/>
      <c r="J888" s="71"/>
    </row>
    <row r="889" spans="1:10">
      <c r="A889" s="71"/>
      <c r="B889" s="72"/>
      <c r="C889" s="71"/>
      <c r="D889" s="71"/>
      <c r="E889" s="71"/>
      <c r="F889" s="71"/>
      <c r="G889" s="71"/>
      <c r="H889" s="71"/>
      <c r="I889" s="71"/>
      <c r="J889" s="71"/>
    </row>
    <row r="890" spans="1:10">
      <c r="A890" s="71"/>
      <c r="B890" s="72"/>
      <c r="C890" s="71"/>
      <c r="D890" s="71"/>
      <c r="E890" s="71"/>
      <c r="F890" s="71"/>
      <c r="G890" s="71"/>
      <c r="H890" s="71"/>
      <c r="I890" s="71"/>
      <c r="J890" s="71"/>
    </row>
    <row r="891" spans="1:10">
      <c r="A891" s="71"/>
      <c r="B891" s="72"/>
      <c r="C891" s="71"/>
      <c r="D891" s="71"/>
      <c r="E891" s="71"/>
      <c r="F891" s="71"/>
      <c r="G891" s="71"/>
      <c r="H891" s="71"/>
      <c r="I891" s="71"/>
      <c r="J891" s="71"/>
    </row>
    <row r="892" spans="1:10">
      <c r="A892" s="71"/>
      <c r="B892" s="72"/>
      <c r="C892" s="71"/>
      <c r="D892" s="71"/>
      <c r="E892" s="71"/>
      <c r="F892" s="71"/>
      <c r="G892" s="71"/>
      <c r="H892" s="71"/>
      <c r="I892" s="71"/>
      <c r="J892" s="71"/>
    </row>
    <row r="893" spans="1:10">
      <c r="A893" s="71"/>
      <c r="B893" s="72"/>
      <c r="C893" s="71"/>
      <c r="D893" s="71"/>
      <c r="E893" s="71"/>
      <c r="F893" s="71"/>
      <c r="G893" s="71"/>
      <c r="H893" s="71"/>
      <c r="I893" s="71"/>
      <c r="J893" s="71"/>
    </row>
    <row r="894" spans="1:10">
      <c r="A894" s="71"/>
      <c r="B894" s="72"/>
      <c r="C894" s="71"/>
      <c r="D894" s="71"/>
      <c r="E894" s="71"/>
      <c r="F894" s="71"/>
      <c r="G894" s="71"/>
      <c r="H894" s="71"/>
      <c r="I894" s="71"/>
      <c r="J894" s="71"/>
    </row>
    <row r="895" spans="1:10">
      <c r="A895" s="71"/>
      <c r="B895" s="72"/>
      <c r="C895" s="71"/>
      <c r="D895" s="71"/>
      <c r="E895" s="71"/>
      <c r="F895" s="71"/>
      <c r="G895" s="71"/>
      <c r="H895" s="71"/>
      <c r="I895" s="71"/>
      <c r="J895" s="71"/>
    </row>
    <row r="896" spans="1:10">
      <c r="A896" s="71"/>
      <c r="B896" s="72"/>
      <c r="C896" s="71"/>
      <c r="D896" s="71"/>
      <c r="E896" s="71"/>
      <c r="F896" s="71"/>
      <c r="G896" s="71"/>
      <c r="H896" s="71"/>
      <c r="I896" s="71"/>
      <c r="J896" s="71"/>
    </row>
    <row r="897" spans="1:10">
      <c r="A897" s="71"/>
      <c r="B897" s="72"/>
      <c r="C897" s="71"/>
      <c r="D897" s="71"/>
      <c r="E897" s="71"/>
      <c r="F897" s="71"/>
      <c r="G897" s="71"/>
      <c r="H897" s="71"/>
      <c r="I897" s="71"/>
      <c r="J897" s="71"/>
    </row>
    <row r="898" spans="1:10">
      <c r="A898" s="71"/>
      <c r="B898" s="72"/>
      <c r="C898" s="71"/>
      <c r="D898" s="71"/>
      <c r="E898" s="71"/>
      <c r="F898" s="71"/>
      <c r="G898" s="71"/>
      <c r="H898" s="71"/>
      <c r="I898" s="71"/>
      <c r="J898" s="71"/>
    </row>
    <row r="899" spans="1:10">
      <c r="A899" s="71"/>
      <c r="B899" s="72"/>
      <c r="C899" s="71"/>
      <c r="D899" s="71"/>
      <c r="E899" s="71"/>
      <c r="F899" s="71"/>
      <c r="G899" s="71"/>
      <c r="H899" s="71"/>
      <c r="I899" s="71"/>
      <c r="J899" s="71"/>
    </row>
    <row r="900" spans="1:10">
      <c r="A900" s="71"/>
      <c r="B900" s="72"/>
      <c r="C900" s="71"/>
      <c r="D900" s="71"/>
      <c r="E900" s="71"/>
      <c r="F900" s="71"/>
      <c r="G900" s="71"/>
      <c r="H900" s="71"/>
      <c r="I900" s="71"/>
      <c r="J900" s="71"/>
    </row>
    <row r="901" spans="1:10">
      <c r="A901" s="71"/>
      <c r="B901" s="72"/>
      <c r="C901" s="71"/>
      <c r="D901" s="71"/>
      <c r="E901" s="71"/>
      <c r="F901" s="71"/>
      <c r="G901" s="71"/>
      <c r="H901" s="71"/>
      <c r="I901" s="71"/>
      <c r="J901" s="71"/>
    </row>
    <row r="902" spans="1:10">
      <c r="A902" s="71"/>
      <c r="B902" s="72"/>
      <c r="C902" s="71"/>
      <c r="D902" s="71"/>
      <c r="E902" s="71"/>
      <c r="F902" s="71"/>
      <c r="G902" s="71"/>
      <c r="H902" s="71"/>
      <c r="I902" s="71"/>
      <c r="J902" s="71"/>
    </row>
    <row r="903" spans="1:10">
      <c r="A903" s="71"/>
      <c r="B903" s="72"/>
      <c r="C903" s="71"/>
      <c r="D903" s="71"/>
      <c r="E903" s="71"/>
      <c r="F903" s="71"/>
      <c r="G903" s="71"/>
      <c r="H903" s="71"/>
      <c r="I903" s="71"/>
      <c r="J903" s="71"/>
    </row>
    <row r="904" spans="1:10">
      <c r="A904" s="71"/>
      <c r="B904" s="72"/>
      <c r="C904" s="71"/>
      <c r="D904" s="71"/>
      <c r="E904" s="71"/>
      <c r="F904" s="71"/>
      <c r="G904" s="71"/>
      <c r="H904" s="71"/>
      <c r="I904" s="71"/>
      <c r="J904" s="71"/>
    </row>
    <row r="905" spans="1:10">
      <c r="A905" s="71"/>
      <c r="B905" s="72"/>
      <c r="C905" s="71"/>
      <c r="D905" s="71"/>
      <c r="E905" s="71"/>
      <c r="F905" s="71"/>
      <c r="G905" s="71"/>
      <c r="H905" s="71"/>
      <c r="I905" s="71"/>
      <c r="J905" s="71"/>
    </row>
    <row r="906" spans="1:10">
      <c r="A906" s="71"/>
      <c r="B906" s="72"/>
      <c r="C906" s="71"/>
      <c r="D906" s="71"/>
      <c r="E906" s="71"/>
      <c r="F906" s="71"/>
      <c r="G906" s="71"/>
      <c r="H906" s="71"/>
      <c r="I906" s="71"/>
      <c r="J906" s="71"/>
    </row>
    <row r="907" spans="1:10">
      <c r="A907" s="71"/>
      <c r="B907" s="72"/>
      <c r="C907" s="71"/>
      <c r="D907" s="71"/>
      <c r="E907" s="71"/>
      <c r="F907" s="71"/>
      <c r="G907" s="71"/>
      <c r="H907" s="71"/>
      <c r="I907" s="71"/>
      <c r="J907" s="71"/>
    </row>
    <row r="908" spans="1:10">
      <c r="A908" s="71"/>
      <c r="B908" s="72"/>
      <c r="C908" s="71"/>
      <c r="D908" s="71"/>
      <c r="E908" s="71"/>
      <c r="F908" s="71"/>
      <c r="G908" s="71"/>
      <c r="H908" s="71"/>
      <c r="I908" s="71"/>
      <c r="J908" s="71"/>
    </row>
    <row r="909" spans="1:10">
      <c r="A909" s="71"/>
      <c r="B909" s="72"/>
      <c r="C909" s="71"/>
      <c r="D909" s="71"/>
      <c r="E909" s="71"/>
      <c r="F909" s="71"/>
      <c r="G909" s="71"/>
      <c r="H909" s="71"/>
      <c r="I909" s="71"/>
      <c r="J909" s="71"/>
    </row>
    <row r="910" spans="1:10">
      <c r="A910" s="71"/>
      <c r="B910" s="72"/>
      <c r="C910" s="71"/>
      <c r="D910" s="71"/>
      <c r="E910" s="71"/>
      <c r="F910" s="71"/>
      <c r="G910" s="71"/>
      <c r="H910" s="71"/>
      <c r="I910" s="71"/>
      <c r="J910" s="71"/>
    </row>
    <row r="911" spans="1:10">
      <c r="A911" s="71"/>
      <c r="B911" s="72"/>
      <c r="C911" s="71"/>
      <c r="D911" s="71"/>
      <c r="E911" s="71"/>
      <c r="F911" s="71"/>
      <c r="G911" s="71"/>
      <c r="H911" s="71"/>
      <c r="I911" s="71"/>
      <c r="J911" s="71"/>
    </row>
    <row r="912" spans="1:10">
      <c r="A912" s="71"/>
      <c r="B912" s="72"/>
      <c r="C912" s="71"/>
      <c r="D912" s="71"/>
      <c r="E912" s="71"/>
      <c r="F912" s="71"/>
      <c r="G912" s="71"/>
      <c r="H912" s="71"/>
      <c r="I912" s="71"/>
      <c r="J912" s="71"/>
    </row>
    <row r="913" spans="1:10">
      <c r="A913" s="71"/>
      <c r="B913" s="72"/>
      <c r="C913" s="71"/>
      <c r="D913" s="71"/>
      <c r="E913" s="71"/>
      <c r="F913" s="71"/>
      <c r="G913" s="71"/>
      <c r="H913" s="71"/>
      <c r="I913" s="71"/>
      <c r="J913" s="71"/>
    </row>
    <row r="914" spans="1:10">
      <c r="A914" s="71"/>
      <c r="B914" s="72"/>
      <c r="C914" s="71"/>
      <c r="D914" s="71"/>
      <c r="E914" s="71"/>
      <c r="F914" s="71"/>
      <c r="G914" s="71"/>
      <c r="H914" s="71"/>
      <c r="I914" s="71"/>
      <c r="J914" s="71"/>
    </row>
    <row r="915" spans="1:10">
      <c r="A915" s="71"/>
      <c r="B915" s="72"/>
      <c r="C915" s="71"/>
      <c r="D915" s="71"/>
      <c r="E915" s="71"/>
      <c r="F915" s="71"/>
      <c r="G915" s="71"/>
      <c r="H915" s="71"/>
      <c r="I915" s="71"/>
      <c r="J915" s="71"/>
    </row>
    <row r="916" spans="1:10">
      <c r="A916" s="71"/>
      <c r="B916" s="72"/>
      <c r="C916" s="71"/>
      <c r="D916" s="71"/>
      <c r="E916" s="71"/>
      <c r="F916" s="71"/>
      <c r="G916" s="71"/>
      <c r="H916" s="71"/>
      <c r="I916" s="71"/>
      <c r="J916" s="71"/>
    </row>
    <row r="917" spans="1:10">
      <c r="A917" s="71"/>
      <c r="B917" s="72"/>
      <c r="C917" s="71"/>
      <c r="D917" s="71"/>
      <c r="E917" s="71"/>
      <c r="F917" s="71"/>
      <c r="G917" s="71"/>
      <c r="H917" s="71"/>
      <c r="I917" s="71"/>
      <c r="J917" s="71"/>
    </row>
    <row r="918" spans="1:10">
      <c r="A918" s="71"/>
      <c r="B918" s="72"/>
      <c r="C918" s="71"/>
      <c r="D918" s="71"/>
      <c r="E918" s="71"/>
      <c r="F918" s="71"/>
      <c r="G918" s="71"/>
      <c r="H918" s="71"/>
      <c r="I918" s="71"/>
      <c r="J918" s="71"/>
    </row>
    <row r="919" spans="1:10">
      <c r="A919" s="71"/>
      <c r="B919" s="72"/>
      <c r="C919" s="71"/>
      <c r="D919" s="71"/>
      <c r="E919" s="71"/>
      <c r="F919" s="71"/>
      <c r="G919" s="71"/>
      <c r="H919" s="71"/>
      <c r="I919" s="71"/>
      <c r="J919" s="71"/>
    </row>
    <row r="920" spans="1:10">
      <c r="A920" s="71"/>
      <c r="B920" s="72"/>
      <c r="C920" s="71"/>
      <c r="D920" s="71"/>
      <c r="E920" s="71"/>
      <c r="F920" s="71"/>
      <c r="G920" s="71"/>
      <c r="H920" s="71"/>
      <c r="I920" s="71"/>
      <c r="J920" s="71"/>
    </row>
  </sheetData>
  <mergeCells count="10">
    <mergeCell ref="D45:E45"/>
    <mergeCell ref="F45:G45"/>
    <mergeCell ref="H45:I45"/>
    <mergeCell ref="B50:C50"/>
    <mergeCell ref="B1:I1"/>
    <mergeCell ref="B2:I2"/>
    <mergeCell ref="E32:I32"/>
    <mergeCell ref="E34:I34"/>
    <mergeCell ref="E36:I36"/>
    <mergeCell ref="E38:I38"/>
  </mergeCells>
  <conditionalFormatting sqref="A22:B28">
    <cfRule type="cellIs" dxfId="17" priority="9" operator="equal">
      <formula>0</formula>
    </cfRule>
  </conditionalFormatting>
  <conditionalFormatting sqref="A33:H33 J33 A34:J34 A45:C45 H45:J45 A37:H37 J37 A38:J44">
    <cfRule type="cellIs" dxfId="16" priority="40" operator="equal">
      <formula>0</formula>
    </cfRule>
  </conditionalFormatting>
  <conditionalFormatting sqref="A46:H46 J46 A47:J50">
    <cfRule type="cellIs" dxfId="15" priority="18" operator="equal">
      <formula>0</formula>
    </cfRule>
  </conditionalFormatting>
  <conditionalFormatting sqref="A21:I21 C23:I23">
    <cfRule type="cellIs" dxfId="14" priority="24" operator="equal">
      <formula>0</formula>
    </cfRule>
  </conditionalFormatting>
  <conditionalFormatting sqref="A1:J20">
    <cfRule type="cellIs" dxfId="13" priority="22" operator="equal">
      <formula>0</formula>
    </cfRule>
  </conditionalFormatting>
  <conditionalFormatting sqref="A31:J32">
    <cfRule type="cellIs" dxfId="12" priority="32" operator="equal">
      <formula>0</formula>
    </cfRule>
  </conditionalFormatting>
  <conditionalFormatting sqref="B47:B49 D47:I49">
    <cfRule type="cellIs" dxfId="11" priority="42" operator="equal">
      <formula>0</formula>
    </cfRule>
  </conditionalFormatting>
  <conditionalFormatting sqref="C22:G22">
    <cfRule type="cellIs" dxfId="10" priority="6" operator="equal">
      <formula>0</formula>
    </cfRule>
  </conditionalFormatting>
  <conditionalFormatting sqref="A29:G30 C24:G28">
    <cfRule type="cellIs" dxfId="9" priority="12" operator="equal">
      <formula>0</formula>
    </cfRule>
  </conditionalFormatting>
  <conditionalFormatting sqref="D46:G50">
    <cfRule type="expression" dxfId="8" priority="41">
      <formula>$K$31="hide"</formula>
    </cfRule>
  </conditionalFormatting>
  <conditionalFormatting sqref="I22">
    <cfRule type="cellIs" dxfId="7" priority="8" operator="equal">
      <formula>0</formula>
    </cfRule>
  </conditionalFormatting>
  <conditionalFormatting sqref="I27:I29 I24:I25">
    <cfRule type="cellIs" dxfId="6" priority="5" operator="equal">
      <formula>0</formula>
    </cfRule>
  </conditionalFormatting>
  <conditionalFormatting sqref="I46:I49">
    <cfRule type="cellIs" dxfId="5" priority="11" operator="equal">
      <formula>0</formula>
    </cfRule>
  </conditionalFormatting>
  <conditionalFormatting sqref="J21:J29 I30:J30">
    <cfRule type="cellIs" dxfId="4" priority="13" operator="equal">
      <formula>0</formula>
    </cfRule>
  </conditionalFormatting>
  <conditionalFormatting sqref="H25">
    <cfRule type="cellIs" dxfId="3" priority="4" operator="equal">
      <formula>0</formula>
    </cfRule>
  </conditionalFormatting>
  <conditionalFormatting sqref="I26">
    <cfRule type="cellIs" dxfId="2" priority="3" operator="equal">
      <formula>0</formula>
    </cfRule>
  </conditionalFormatting>
  <conditionalFormatting sqref="H26">
    <cfRule type="cellIs" dxfId="1" priority="2" operator="equal">
      <formula>0</formula>
    </cfRule>
  </conditionalFormatting>
  <conditionalFormatting sqref="A35:J36">
    <cfRule type="cellIs" dxfId="0" priority="1" operator="equal">
      <formula>0</formula>
    </cfRule>
  </conditionalFormatting>
  <dataValidations count="2">
    <dataValidation allowBlank="1" showErrorMessage="1" sqref="C23:I38 C21:E22 F19:H22 I19 I21:I22" xr:uid="{751D1947-F079-49E9-95B8-108615ADFFD5}"/>
    <dataValidation type="list" allowBlank="1" showErrorMessage="1" sqref="I20" xr:uid="{8BAA139E-8116-4F3E-AF37-BC253824D4F6}">
      <formula1>"Lựa chọn 1, Lựa chọn 2"</formula1>
    </dataValidation>
  </dataValidations>
  <pageMargins left="0.24" right="0.16" top="0.75" bottom="0.75" header="0.3" footer="0.3"/>
  <pageSetup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TTKQ</vt:lpstr>
      <vt:lpstr>TT Chuẩn</vt:lpstr>
      <vt:lpstr>TTS 95%</vt:lpstr>
      <vt:lpstr>TT sớm nhận HTLS 70%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Quang Huy</dc:creator>
  <cp:lastModifiedBy>Nguyễn Thị Hồng Nhung</cp:lastModifiedBy>
  <cp:lastPrinted>2026-04-03T10:09:16Z</cp:lastPrinted>
  <dcterms:created xsi:type="dcterms:W3CDTF">2024-10-22T02:17:54Z</dcterms:created>
  <dcterms:modified xsi:type="dcterms:W3CDTF">2026-05-25T07:40:13Z</dcterms:modified>
</cp:coreProperties>
</file>